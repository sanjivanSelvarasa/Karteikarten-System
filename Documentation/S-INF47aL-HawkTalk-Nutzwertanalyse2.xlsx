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anji\Documents\GitHub\Karteikarten-System\Documentation\"/>
    </mc:Choice>
  </mc:AlternateContent>
  <xr:revisionPtr revIDLastSave="0" documentId="8_{1C42F2E0-2CF5-439F-BBB0-118B5E42A7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utzwertanalyse" sheetId="1" r:id="rId1"/>
    <sheet name="Bewertungssche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2" l="1"/>
  <c r="B8" i="2"/>
  <c r="B9" i="2"/>
  <c r="B10" i="2"/>
  <c r="B11" i="2"/>
  <c r="B12" i="2"/>
  <c r="B13" i="2"/>
  <c r="B14" i="2"/>
  <c r="B15" i="2"/>
  <c r="B16" i="2"/>
  <c r="B7" i="2"/>
  <c r="B5" i="2"/>
  <c r="E16" i="1"/>
  <c r="E15" i="1"/>
  <c r="E14" i="1"/>
  <c r="E13" i="1"/>
  <c r="E12" i="1"/>
  <c r="C18" i="1"/>
  <c r="G16" i="1"/>
  <c r="I16" i="1"/>
  <c r="G15" i="1"/>
  <c r="I15" i="1"/>
  <c r="G14" i="1"/>
  <c r="I14" i="1"/>
  <c r="G13" i="1"/>
  <c r="I13" i="1"/>
  <c r="G12" i="1"/>
  <c r="I12" i="1"/>
  <c r="I9" i="1"/>
  <c r="I10" i="1"/>
  <c r="I11" i="1"/>
  <c r="I17" i="1"/>
  <c r="I8" i="1"/>
  <c r="I18" i="1" s="1"/>
  <c r="G9" i="1"/>
  <c r="G10" i="1"/>
  <c r="G11" i="1"/>
  <c r="G17" i="1"/>
  <c r="G8" i="1"/>
  <c r="G18" i="1" s="1"/>
  <c r="E9" i="1"/>
  <c r="E10" i="1"/>
  <c r="E11" i="1"/>
  <c r="E17" i="1"/>
  <c r="E8" i="1"/>
  <c r="E18" i="1" s="1"/>
</calcChain>
</file>

<file path=xl/sharedStrings.xml><?xml version="1.0" encoding="utf-8"?>
<sst xmlns="http://schemas.openxmlformats.org/spreadsheetml/2006/main" count="37" uniqueCount="32">
  <si>
    <t>Kriterium</t>
  </si>
  <si>
    <t>Gewichtung</t>
  </si>
  <si>
    <t>Alternative 1</t>
  </si>
  <si>
    <t>Nutzwertanalyse</t>
  </si>
  <si>
    <t>Punkte</t>
  </si>
  <si>
    <t>Nutzwert</t>
  </si>
  <si>
    <t>Alternative 2</t>
  </si>
  <si>
    <t>Alternative 3</t>
  </si>
  <si>
    <t>Kriterium 1</t>
  </si>
  <si>
    <t>Kriterium 2</t>
  </si>
  <si>
    <t>Kriterium 3</t>
  </si>
  <si>
    <t>Kriterium 4</t>
  </si>
  <si>
    <t>Summe</t>
  </si>
  <si>
    <t>Kriterium 5</t>
  </si>
  <si>
    <t>Kriterium 6</t>
  </si>
  <si>
    <t>Kriterium 8</t>
  </si>
  <si>
    <t>Kriterium 9</t>
  </si>
  <si>
    <t>Kriterium 10</t>
  </si>
  <si>
    <t>Bewertungsschema</t>
  </si>
  <si>
    <t>Preis</t>
  </si>
  <si>
    <r>
      <t xml:space="preserve">Sehr gut
</t>
    </r>
    <r>
      <rPr>
        <sz val="12"/>
        <color theme="0"/>
        <rFont val="Segoe UI"/>
        <family val="2"/>
      </rPr>
      <t>( 9 bis 10 )</t>
    </r>
  </si>
  <si>
    <r>
      <t xml:space="preserve">Gut
</t>
    </r>
    <r>
      <rPr>
        <sz val="12"/>
        <color theme="0"/>
        <rFont val="Segoe UI"/>
        <family val="2"/>
      </rPr>
      <t>( 6 bis 8 )</t>
    </r>
  </si>
  <si>
    <r>
      <t xml:space="preserve">Genügend
</t>
    </r>
    <r>
      <rPr>
        <sz val="12"/>
        <color theme="0"/>
        <rFont val="Segoe UI"/>
        <family val="2"/>
      </rPr>
      <t>( 3 bis 5 )</t>
    </r>
  </si>
  <si>
    <r>
      <t xml:space="preserve">Schlecht
</t>
    </r>
    <r>
      <rPr>
        <sz val="12"/>
        <color theme="0"/>
        <rFont val="Segoe UI"/>
        <family val="2"/>
      </rPr>
      <t>( 0 )</t>
    </r>
  </si>
  <si>
    <r>
      <t xml:space="preserve">Ungenügend
</t>
    </r>
    <r>
      <rPr>
        <sz val="12"/>
        <color theme="0"/>
        <rFont val="Segoe UI"/>
        <family val="2"/>
      </rPr>
      <t>( 1 bis 2 )</t>
    </r>
  </si>
  <si>
    <t>&lt; CHF 10'000.-</t>
  </si>
  <si>
    <t>&gt; CHF 20'000.-</t>
  </si>
  <si>
    <t>CHF 20'000 bis 15'001.-</t>
  </si>
  <si>
    <t>CHF 15'000 bis 12'001.-</t>
  </si>
  <si>
    <t>CHF 12'000 bis 10'000.-</t>
  </si>
  <si>
    <t>Projektbezeichnung</t>
  </si>
  <si>
    <t>Zielformulierung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</si>
</sst>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Segoe UI"/>
      <family val="2"/>
    </font>
    <font>
      <sz val="12"/>
      <color theme="0"/>
      <name val="Segoe UI"/>
      <family val="2"/>
    </font>
    <font>
      <sz val="8"/>
      <name val="Calibri"/>
      <family val="2"/>
      <scheme val="minor"/>
    </font>
    <font>
      <b/>
      <sz val="12"/>
      <color theme="4" tint="-0.499984740745262"/>
      <name val="Segoe UI"/>
      <family val="2"/>
    </font>
    <font>
      <sz val="12"/>
      <color theme="4" tint="-0.49998474074526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3" tint="-0.499984740745262"/>
      </left>
      <right style="thin">
        <color theme="0"/>
      </right>
      <top style="medium">
        <color theme="3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3" tint="-0.499984740745262"/>
      </top>
      <bottom style="thin">
        <color theme="0"/>
      </bottom>
      <diagonal/>
    </border>
    <border>
      <left style="thin">
        <color theme="0"/>
      </left>
      <right style="medium">
        <color theme="3" tint="-0.499984740745262"/>
      </right>
      <top style="medium">
        <color theme="3" tint="-0.499984740745262"/>
      </top>
      <bottom style="thin">
        <color theme="0"/>
      </bottom>
      <diagonal/>
    </border>
    <border>
      <left style="medium">
        <color theme="3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3" tint="-0.499984740745262"/>
      </right>
      <top style="thin">
        <color theme="0"/>
      </top>
      <bottom style="thin">
        <color theme="0"/>
      </bottom>
      <diagonal/>
    </border>
    <border>
      <left style="medium">
        <color theme="3" tint="-0.499984740745262"/>
      </left>
      <right style="thin">
        <color theme="0"/>
      </right>
      <top style="thin">
        <color theme="0"/>
      </top>
      <bottom style="medium">
        <color theme="3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3" tint="-0.499984740745262"/>
      </bottom>
      <diagonal/>
    </border>
    <border>
      <left style="thin">
        <color theme="0"/>
      </left>
      <right style="medium">
        <color theme="3" tint="-0.499984740745262"/>
      </right>
      <top style="thin">
        <color theme="0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3" tint="-0.499984740745262"/>
      </right>
      <top style="thin">
        <color theme="0"/>
      </top>
      <bottom style="thin">
        <color theme="0"/>
      </bottom>
      <diagonal/>
    </border>
  </borders>
  <cellStyleXfs count="2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2">
    <xf numFmtId="0" fontId="0" fillId="0" borderId="0" xfId="0"/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7" xfId="0" applyNumberFormat="1" applyFont="1" applyFill="1" applyBorder="1" applyAlignment="1">
      <alignment horizontal="left" vertical="center" indent="1"/>
    </xf>
    <xf numFmtId="9" fontId="4" fillId="5" borderId="8" xfId="19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/>
    </xf>
    <xf numFmtId="164" fontId="4" fillId="5" borderId="8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7" fillId="0" borderId="0" xfId="0" applyNumberFormat="1" applyFont="1"/>
    <xf numFmtId="9" fontId="7" fillId="0" borderId="0" xfId="19" applyFont="1"/>
    <xf numFmtId="165" fontId="7" fillId="0" borderId="0" xfId="0" applyNumberFormat="1" applyFont="1"/>
    <xf numFmtId="164" fontId="7" fillId="0" borderId="0" xfId="0" applyNumberFormat="1" applyFont="1" applyAlignment="1">
      <alignment vertical="center"/>
    </xf>
    <xf numFmtId="164" fontId="8" fillId="2" borderId="5" xfId="0" applyNumberFormat="1" applyFont="1" applyFill="1" applyBorder="1" applyAlignment="1">
      <alignment horizontal="left" vertical="center" indent="1"/>
    </xf>
    <xf numFmtId="9" fontId="8" fillId="2" borderId="1" xfId="19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9" fontId="8" fillId="0" borderId="0" xfId="19" applyFont="1"/>
    <xf numFmtId="165" fontId="8" fillId="0" borderId="0" xfId="0" applyNumberFormat="1" applyFont="1"/>
    <xf numFmtId="164" fontId="8" fillId="0" borderId="0" xfId="0" applyNumberFormat="1" applyFont="1"/>
    <xf numFmtId="164" fontId="4" fillId="5" borderId="5" xfId="0" applyNumberFormat="1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5" borderId="7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6" xfId="0" applyNumberFormat="1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left" vertical="center" indent="1"/>
    </xf>
    <xf numFmtId="9" fontId="4" fillId="5" borderId="1" xfId="19" applyFont="1" applyFill="1" applyBorder="1" applyAlignment="1">
      <alignment horizontal="center" vertical="center"/>
    </xf>
    <xf numFmtId="164" fontId="7" fillId="3" borderId="10" xfId="0" applyNumberFormat="1" applyFon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 vertical="center"/>
    </xf>
    <xf numFmtId="164" fontId="7" fillId="3" borderId="12" xfId="0" applyNumberFormat="1" applyFont="1" applyFill="1" applyBorder="1" applyAlignment="1">
      <alignment horizontal="center" vertical="center"/>
    </xf>
  </cellXfs>
  <cellStyles count="20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Prozent" xfId="19" builtinId="5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oolbox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oolbox" id="{F49935D9-3D17-D94B-A530-65D2B4720181}" vid="{7DEF19D3-32EC-8042-8FF5-814892BBE34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showGridLines="0" tabSelected="1" zoomScaleNormal="100" workbookViewId="0"/>
  </sheetViews>
  <sheetFormatPr baseColWidth="10" defaultColWidth="3.59765625" defaultRowHeight="20.100000000000001" customHeight="1" x14ac:dyDescent="0.45"/>
  <cols>
    <col min="1" max="1" width="3.59765625" style="21"/>
    <col min="2" max="2" width="36.59765625" style="21" customWidth="1"/>
    <col min="3" max="3" width="12.59765625" style="19" customWidth="1"/>
    <col min="4" max="4" width="12.59765625" style="20" customWidth="1"/>
    <col min="5" max="5" width="12.59765625" style="21" customWidth="1"/>
    <col min="6" max="6" width="12.59765625" style="20" customWidth="1"/>
    <col min="7" max="7" width="12.59765625" style="21" customWidth="1"/>
    <col min="8" max="8" width="12.59765625" style="20" customWidth="1"/>
    <col min="9" max="9" width="12.59765625" style="21" customWidth="1"/>
    <col min="10" max="16384" width="3.59765625" style="21"/>
  </cols>
  <sheetData>
    <row r="1" spans="2:9" s="9" customFormat="1" ht="20.100000000000001" customHeight="1" thickBot="1" x14ac:dyDescent="0.5">
      <c r="C1" s="10"/>
      <c r="D1" s="11"/>
      <c r="F1" s="11"/>
      <c r="H1" s="11"/>
    </row>
    <row r="2" spans="2:9" s="9" customFormat="1" ht="20.100000000000001" customHeight="1" x14ac:dyDescent="0.45">
      <c r="B2" s="29" t="s">
        <v>3</v>
      </c>
      <c r="C2" s="30"/>
      <c r="D2" s="30"/>
      <c r="E2" s="30"/>
      <c r="F2" s="30"/>
      <c r="G2" s="30"/>
      <c r="H2" s="30"/>
      <c r="I2" s="31"/>
    </row>
    <row r="3" spans="2:9" s="9" customFormat="1" ht="20.100000000000001" customHeight="1" x14ac:dyDescent="0.45">
      <c r="B3" s="32"/>
      <c r="C3" s="33"/>
      <c r="D3" s="33"/>
      <c r="E3" s="33"/>
      <c r="F3" s="33"/>
      <c r="G3" s="33"/>
      <c r="H3" s="33"/>
      <c r="I3" s="34"/>
    </row>
    <row r="4" spans="2:9" s="12" customFormat="1" ht="20.100000000000001" customHeight="1" x14ac:dyDescent="0.3">
      <c r="B4" s="39" t="s">
        <v>30</v>
      </c>
      <c r="C4" s="40"/>
      <c r="D4" s="40"/>
      <c r="E4" s="40"/>
      <c r="F4" s="40"/>
      <c r="G4" s="40"/>
      <c r="H4" s="40"/>
      <c r="I4" s="41"/>
    </row>
    <row r="5" spans="2:9" s="12" customFormat="1" ht="20.100000000000001" customHeight="1" x14ac:dyDescent="0.3">
      <c r="B5" s="39" t="s">
        <v>31</v>
      </c>
      <c r="C5" s="40"/>
      <c r="D5" s="40"/>
      <c r="E5" s="40"/>
      <c r="F5" s="40"/>
      <c r="G5" s="40"/>
      <c r="H5" s="40"/>
      <c r="I5" s="41"/>
    </row>
    <row r="6" spans="2:9" s="12" customFormat="1" ht="20.100000000000001" customHeight="1" x14ac:dyDescent="0.3">
      <c r="B6" s="37" t="s">
        <v>0</v>
      </c>
      <c r="C6" s="38" t="s">
        <v>1</v>
      </c>
      <c r="D6" s="35" t="s">
        <v>2</v>
      </c>
      <c r="E6" s="35"/>
      <c r="F6" s="35" t="s">
        <v>6</v>
      </c>
      <c r="G6" s="35"/>
      <c r="H6" s="35" t="s">
        <v>7</v>
      </c>
      <c r="I6" s="36"/>
    </row>
    <row r="7" spans="2:9" s="9" customFormat="1" ht="20.100000000000001" customHeight="1" x14ac:dyDescent="0.45">
      <c r="B7" s="37"/>
      <c r="C7" s="38"/>
      <c r="D7" s="2" t="s">
        <v>4</v>
      </c>
      <c r="E7" s="1" t="s">
        <v>5</v>
      </c>
      <c r="F7" s="2" t="s">
        <v>4</v>
      </c>
      <c r="G7" s="1" t="s">
        <v>5</v>
      </c>
      <c r="H7" s="2" t="s">
        <v>4</v>
      </c>
      <c r="I7" s="3" t="s">
        <v>5</v>
      </c>
    </row>
    <row r="8" spans="2:9" s="18" customFormat="1" ht="20.100000000000001" customHeight="1" x14ac:dyDescent="0.3">
      <c r="B8" s="13" t="s">
        <v>8</v>
      </c>
      <c r="C8" s="14">
        <v>0.2</v>
      </c>
      <c r="D8" s="15">
        <v>0</v>
      </c>
      <c r="E8" s="16">
        <f>C8*D8</f>
        <v>0</v>
      </c>
      <c r="F8" s="15">
        <v>9</v>
      </c>
      <c r="G8" s="16">
        <f>C8*F8</f>
        <v>1.8</v>
      </c>
      <c r="H8" s="15">
        <v>8</v>
      </c>
      <c r="I8" s="17">
        <f>C8*H8</f>
        <v>1.6</v>
      </c>
    </row>
    <row r="9" spans="2:9" s="18" customFormat="1" ht="20.100000000000001" customHeight="1" x14ac:dyDescent="0.3">
      <c r="B9" s="13" t="s">
        <v>9</v>
      </c>
      <c r="C9" s="14">
        <v>0.15</v>
      </c>
      <c r="D9" s="15">
        <v>1</v>
      </c>
      <c r="E9" s="16">
        <f t="shared" ref="E9:E17" si="0">C9*D9</f>
        <v>0.15</v>
      </c>
      <c r="F9" s="15">
        <v>0</v>
      </c>
      <c r="G9" s="16">
        <f t="shared" ref="G9:G17" si="1">C9*F9</f>
        <v>0</v>
      </c>
      <c r="H9" s="15">
        <v>9</v>
      </c>
      <c r="I9" s="17">
        <f t="shared" ref="I9:I17" si="2">C9*H9</f>
        <v>1.3499999999999999</v>
      </c>
    </row>
    <row r="10" spans="2:9" s="18" customFormat="1" ht="20.100000000000001" customHeight="1" x14ac:dyDescent="0.3">
      <c r="B10" s="13" t="s">
        <v>10</v>
      </c>
      <c r="C10" s="14">
        <v>0.02</v>
      </c>
      <c r="D10" s="15">
        <v>2</v>
      </c>
      <c r="E10" s="16">
        <f t="shared" si="0"/>
        <v>0.04</v>
      </c>
      <c r="F10" s="15">
        <v>1</v>
      </c>
      <c r="G10" s="16">
        <f t="shared" si="1"/>
        <v>0.02</v>
      </c>
      <c r="H10" s="15">
        <v>0</v>
      </c>
      <c r="I10" s="17">
        <f t="shared" si="2"/>
        <v>0</v>
      </c>
    </row>
    <row r="11" spans="2:9" s="18" customFormat="1" ht="20.100000000000001" customHeight="1" x14ac:dyDescent="0.3">
      <c r="B11" s="13" t="s">
        <v>11</v>
      </c>
      <c r="C11" s="14">
        <v>0.03</v>
      </c>
      <c r="D11" s="15">
        <v>3</v>
      </c>
      <c r="E11" s="16">
        <f t="shared" si="0"/>
        <v>0.09</v>
      </c>
      <c r="F11" s="15">
        <v>2</v>
      </c>
      <c r="G11" s="16">
        <f t="shared" si="1"/>
        <v>0.06</v>
      </c>
      <c r="H11" s="15">
        <v>1</v>
      </c>
      <c r="I11" s="17">
        <f t="shared" si="2"/>
        <v>0.03</v>
      </c>
    </row>
    <row r="12" spans="2:9" s="18" customFormat="1" ht="20.100000000000001" customHeight="1" x14ac:dyDescent="0.3">
      <c r="B12" s="13" t="s">
        <v>13</v>
      </c>
      <c r="C12" s="14">
        <v>0.12</v>
      </c>
      <c r="D12" s="15">
        <v>4</v>
      </c>
      <c r="E12" s="16">
        <f t="shared" si="0"/>
        <v>0.48</v>
      </c>
      <c r="F12" s="15">
        <v>3</v>
      </c>
      <c r="G12" s="16">
        <f t="shared" si="1"/>
        <v>0.36</v>
      </c>
      <c r="H12" s="15">
        <v>2</v>
      </c>
      <c r="I12" s="17">
        <f t="shared" si="2"/>
        <v>0.24</v>
      </c>
    </row>
    <row r="13" spans="2:9" s="18" customFormat="1" ht="20.100000000000001" customHeight="1" x14ac:dyDescent="0.3">
      <c r="B13" s="13" t="s">
        <v>14</v>
      </c>
      <c r="C13" s="14">
        <v>0.06</v>
      </c>
      <c r="D13" s="15">
        <v>5</v>
      </c>
      <c r="E13" s="16">
        <f t="shared" si="0"/>
        <v>0.3</v>
      </c>
      <c r="F13" s="15">
        <v>4</v>
      </c>
      <c r="G13" s="16">
        <f t="shared" si="1"/>
        <v>0.24</v>
      </c>
      <c r="H13" s="15">
        <v>3</v>
      </c>
      <c r="I13" s="17">
        <f t="shared" si="2"/>
        <v>0.18</v>
      </c>
    </row>
    <row r="14" spans="2:9" s="18" customFormat="1" ht="20.100000000000001" customHeight="1" x14ac:dyDescent="0.3">
      <c r="B14" s="13" t="s">
        <v>19</v>
      </c>
      <c r="C14" s="14">
        <v>0.25</v>
      </c>
      <c r="D14" s="15">
        <v>6</v>
      </c>
      <c r="E14" s="16">
        <f t="shared" si="0"/>
        <v>1.5</v>
      </c>
      <c r="F14" s="15">
        <v>5</v>
      </c>
      <c r="G14" s="16">
        <f t="shared" si="1"/>
        <v>1.25</v>
      </c>
      <c r="H14" s="15">
        <v>4</v>
      </c>
      <c r="I14" s="17">
        <f t="shared" si="2"/>
        <v>1</v>
      </c>
    </row>
    <row r="15" spans="2:9" s="18" customFormat="1" ht="20.100000000000001" customHeight="1" x14ac:dyDescent="0.3">
      <c r="B15" s="13" t="s">
        <v>15</v>
      </c>
      <c r="C15" s="14">
        <v>0.1</v>
      </c>
      <c r="D15" s="15">
        <v>7</v>
      </c>
      <c r="E15" s="16">
        <f t="shared" si="0"/>
        <v>0.70000000000000007</v>
      </c>
      <c r="F15" s="15">
        <v>6</v>
      </c>
      <c r="G15" s="16">
        <f t="shared" si="1"/>
        <v>0.60000000000000009</v>
      </c>
      <c r="H15" s="15">
        <v>5</v>
      </c>
      <c r="I15" s="17">
        <f t="shared" si="2"/>
        <v>0.5</v>
      </c>
    </row>
    <row r="16" spans="2:9" s="18" customFormat="1" ht="20.100000000000001" customHeight="1" x14ac:dyDescent="0.3">
      <c r="B16" s="13" t="s">
        <v>16</v>
      </c>
      <c r="C16" s="14">
        <v>0.02</v>
      </c>
      <c r="D16" s="15">
        <v>8</v>
      </c>
      <c r="E16" s="16">
        <f t="shared" si="0"/>
        <v>0.16</v>
      </c>
      <c r="F16" s="15">
        <v>7</v>
      </c>
      <c r="G16" s="16">
        <f t="shared" si="1"/>
        <v>0.14000000000000001</v>
      </c>
      <c r="H16" s="15">
        <v>6</v>
      </c>
      <c r="I16" s="17">
        <f t="shared" si="2"/>
        <v>0.12</v>
      </c>
    </row>
    <row r="17" spans="2:9" s="18" customFormat="1" ht="20.100000000000001" customHeight="1" x14ac:dyDescent="0.3">
      <c r="B17" s="13" t="s">
        <v>17</v>
      </c>
      <c r="C17" s="14">
        <v>0.05</v>
      </c>
      <c r="D17" s="15">
        <v>9</v>
      </c>
      <c r="E17" s="16">
        <f t="shared" si="0"/>
        <v>0.45</v>
      </c>
      <c r="F17" s="15">
        <v>8</v>
      </c>
      <c r="G17" s="16">
        <f t="shared" si="1"/>
        <v>0.4</v>
      </c>
      <c r="H17" s="15">
        <v>7</v>
      </c>
      <c r="I17" s="17">
        <f t="shared" si="2"/>
        <v>0.35000000000000003</v>
      </c>
    </row>
    <row r="18" spans="2:9" s="12" customFormat="1" ht="20.100000000000001" customHeight="1" thickBot="1" x14ac:dyDescent="0.35">
      <c r="B18" s="4" t="s">
        <v>12</v>
      </c>
      <c r="C18" s="5">
        <f>SUM(C8:C17)</f>
        <v>1</v>
      </c>
      <c r="D18" s="6"/>
      <c r="E18" s="7">
        <f>SUM(E8:E17)</f>
        <v>3.8700000000000006</v>
      </c>
      <c r="F18" s="6"/>
      <c r="G18" s="7">
        <f>SUM(G8:G17)</f>
        <v>4.87</v>
      </c>
      <c r="H18" s="6"/>
      <c r="I18" s="8">
        <f>SUM(I8:I17)</f>
        <v>5.37</v>
      </c>
    </row>
  </sheetData>
  <mergeCells count="8">
    <mergeCell ref="B2:I3"/>
    <mergeCell ref="D6:E6"/>
    <mergeCell ref="F6:G6"/>
    <mergeCell ref="H6:I6"/>
    <mergeCell ref="B6:B7"/>
    <mergeCell ref="C6:C7"/>
    <mergeCell ref="B5:I5"/>
    <mergeCell ref="B4:I4"/>
  </mergeCells>
  <phoneticPr fontId="6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647DE-53DE-460A-8C85-40AA5413B6C7}">
  <dimension ref="B1:G17"/>
  <sheetViews>
    <sheetView showGridLines="0" zoomScaleNormal="100" workbookViewId="0"/>
  </sheetViews>
  <sheetFormatPr baseColWidth="10" defaultColWidth="3.59765625" defaultRowHeight="20.100000000000001" customHeight="1" x14ac:dyDescent="0.3"/>
  <cols>
    <col min="1" max="1" width="3.59765625" style="26"/>
    <col min="2" max="2" width="36.59765625" style="26" customWidth="1"/>
    <col min="3" max="3" width="25.59765625" style="26" customWidth="1"/>
    <col min="4" max="4" width="25.59765625" style="28" customWidth="1"/>
    <col min="5" max="5" width="25.59765625" style="26" customWidth="1"/>
    <col min="6" max="6" width="25.59765625" style="28" customWidth="1"/>
    <col min="7" max="7" width="25.59765625" style="26" customWidth="1"/>
    <col min="8" max="16384" width="3.59765625" style="26"/>
  </cols>
  <sheetData>
    <row r="1" spans="2:7" s="24" customFormat="1" ht="20.100000000000001" customHeight="1" thickBot="1" x14ac:dyDescent="0.35">
      <c r="D1" s="25"/>
      <c r="F1" s="25"/>
    </row>
    <row r="2" spans="2:7" s="24" customFormat="1" ht="20.100000000000001" customHeight="1" x14ac:dyDescent="0.3">
      <c r="B2" s="29" t="s">
        <v>18</v>
      </c>
      <c r="C2" s="30"/>
      <c r="D2" s="30"/>
      <c r="E2" s="30"/>
      <c r="F2" s="30"/>
      <c r="G2" s="31"/>
    </row>
    <row r="3" spans="2:7" s="24" customFormat="1" ht="20.100000000000001" customHeight="1" x14ac:dyDescent="0.3">
      <c r="B3" s="32"/>
      <c r="C3" s="33"/>
      <c r="D3" s="33"/>
      <c r="E3" s="33"/>
      <c r="F3" s="33"/>
      <c r="G3" s="34"/>
    </row>
    <row r="4" spans="2:7" s="24" customFormat="1" ht="20.100000000000001" customHeight="1" x14ac:dyDescent="0.3">
      <c r="B4" s="39" t="str">
        <f>Nutzwertanalyse!B4</f>
        <v>Projektbezeichnung</v>
      </c>
      <c r="C4" s="40"/>
      <c r="D4" s="40"/>
      <c r="E4" s="40"/>
      <c r="F4" s="40"/>
      <c r="G4" s="41"/>
    </row>
    <row r="5" spans="2:7" s="24" customFormat="1" ht="20.100000000000001" customHeight="1" x14ac:dyDescent="0.3">
      <c r="B5" s="39" t="str">
        <f>Nutzwertanalyse!B5</f>
        <v>Zielformulierung</v>
      </c>
      <c r="C5" s="40"/>
      <c r="D5" s="40"/>
      <c r="E5" s="40"/>
      <c r="F5" s="40"/>
      <c r="G5" s="41"/>
    </row>
    <row r="6" spans="2:7" s="24" customFormat="1" ht="38.1" customHeight="1" x14ac:dyDescent="0.3">
      <c r="B6" s="22" t="s">
        <v>0</v>
      </c>
      <c r="C6" s="23" t="s">
        <v>23</v>
      </c>
      <c r="D6" s="23" t="s">
        <v>24</v>
      </c>
      <c r="E6" s="23" t="s">
        <v>22</v>
      </c>
      <c r="F6" s="23" t="s">
        <v>21</v>
      </c>
      <c r="G6" s="23" t="s">
        <v>20</v>
      </c>
    </row>
    <row r="7" spans="2:7" ht="20.100000000000001" customHeight="1" x14ac:dyDescent="0.3">
      <c r="B7" s="13" t="str">
        <f>Nutzwertanalyse!B8</f>
        <v>Kriterium 1</v>
      </c>
      <c r="C7" s="16"/>
      <c r="D7" s="15"/>
      <c r="E7" s="16"/>
      <c r="F7" s="15"/>
      <c r="G7" s="17"/>
    </row>
    <row r="8" spans="2:7" ht="20.100000000000001" customHeight="1" x14ac:dyDescent="0.3">
      <c r="B8" s="13" t="str">
        <f>Nutzwertanalyse!B9</f>
        <v>Kriterium 2</v>
      </c>
      <c r="C8" s="16"/>
      <c r="D8" s="15"/>
      <c r="E8" s="16"/>
      <c r="F8" s="15"/>
      <c r="G8" s="17"/>
    </row>
    <row r="9" spans="2:7" ht="20.100000000000001" customHeight="1" x14ac:dyDescent="0.3">
      <c r="B9" s="13" t="str">
        <f>Nutzwertanalyse!B10</f>
        <v>Kriterium 3</v>
      </c>
      <c r="C9" s="16"/>
      <c r="D9" s="15"/>
      <c r="E9" s="16"/>
      <c r="F9" s="15"/>
      <c r="G9" s="17"/>
    </row>
    <row r="10" spans="2:7" ht="20.100000000000001" customHeight="1" x14ac:dyDescent="0.3">
      <c r="B10" s="13" t="str">
        <f>Nutzwertanalyse!B11</f>
        <v>Kriterium 4</v>
      </c>
      <c r="C10" s="16"/>
      <c r="D10" s="15"/>
      <c r="E10" s="16"/>
      <c r="F10" s="15"/>
      <c r="G10" s="17"/>
    </row>
    <row r="11" spans="2:7" ht="20.100000000000001" customHeight="1" x14ac:dyDescent="0.3">
      <c r="B11" s="13" t="str">
        <f>Nutzwertanalyse!B12</f>
        <v>Kriterium 5</v>
      </c>
      <c r="C11" s="16"/>
      <c r="D11" s="15"/>
      <c r="E11" s="16"/>
      <c r="F11" s="15"/>
      <c r="G11" s="17"/>
    </row>
    <row r="12" spans="2:7" ht="20.100000000000001" customHeight="1" x14ac:dyDescent="0.3">
      <c r="B12" s="13" t="str">
        <f>Nutzwertanalyse!B13</f>
        <v>Kriterium 6</v>
      </c>
      <c r="C12" s="16"/>
      <c r="D12" s="15"/>
      <c r="E12" s="16"/>
      <c r="F12" s="15"/>
      <c r="G12" s="17"/>
    </row>
    <row r="13" spans="2:7" ht="20.100000000000001" customHeight="1" x14ac:dyDescent="0.3">
      <c r="B13" s="13" t="str">
        <f>Nutzwertanalyse!B14</f>
        <v>Preis</v>
      </c>
      <c r="C13" s="16" t="s">
        <v>26</v>
      </c>
      <c r="D13" s="15" t="s">
        <v>27</v>
      </c>
      <c r="E13" s="15" t="s">
        <v>28</v>
      </c>
      <c r="F13" s="15" t="s">
        <v>29</v>
      </c>
      <c r="G13" s="17" t="s">
        <v>25</v>
      </c>
    </row>
    <row r="14" spans="2:7" ht="20.100000000000001" customHeight="1" x14ac:dyDescent="0.3">
      <c r="B14" s="13" t="str">
        <f>Nutzwertanalyse!B15</f>
        <v>Kriterium 8</v>
      </c>
      <c r="C14" s="16"/>
      <c r="D14" s="15"/>
      <c r="E14" s="16"/>
      <c r="F14" s="15"/>
      <c r="G14" s="17"/>
    </row>
    <row r="15" spans="2:7" ht="20.100000000000001" customHeight="1" x14ac:dyDescent="0.3">
      <c r="B15" s="13" t="str">
        <f>Nutzwertanalyse!B16</f>
        <v>Kriterium 9</v>
      </c>
      <c r="C15" s="16"/>
      <c r="D15" s="15"/>
      <c r="E15" s="16"/>
      <c r="F15" s="15"/>
      <c r="G15" s="17"/>
    </row>
    <row r="16" spans="2:7" ht="20.100000000000001" customHeight="1" x14ac:dyDescent="0.3">
      <c r="B16" s="13" t="str">
        <f>Nutzwertanalyse!B17</f>
        <v>Kriterium 10</v>
      </c>
      <c r="C16" s="16"/>
      <c r="D16" s="15"/>
      <c r="E16" s="16"/>
      <c r="F16" s="15"/>
      <c r="G16" s="17"/>
    </row>
    <row r="17" spans="2:7" s="24" customFormat="1" ht="20.100000000000001" customHeight="1" thickBot="1" x14ac:dyDescent="0.35">
      <c r="B17" s="27"/>
      <c r="C17" s="7"/>
      <c r="D17" s="6"/>
      <c r="E17" s="7"/>
      <c r="F17" s="6"/>
      <c r="G17" s="8"/>
    </row>
  </sheetData>
  <mergeCells count="3">
    <mergeCell ref="B2:G3"/>
    <mergeCell ref="B5:G5"/>
    <mergeCell ref="B4:G4"/>
  </mergeCells>
  <phoneticPr fontId="6" type="noConversion"/>
  <pageMargins left="0.75" right="0.75" top="1" bottom="1" header="0.5" footer="0.5"/>
  <pageSetup paperSize="9"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1A67C-54EA-423D-B034-A3D6AA2D738D}">
  <ds:schemaRefs>
    <ds:schemaRef ds:uri="http://purl.org/dc/terms/"/>
    <ds:schemaRef ds:uri="http://schemas.openxmlformats.org/package/2006/metadata/core-properties"/>
    <ds:schemaRef ds:uri="8e922e2c-d434-4569-88ac-67afeec8ca9b"/>
    <ds:schemaRef ds:uri="http://purl.org/dc/elements/1.1/"/>
    <ds:schemaRef ds:uri="08a37d9d-9576-4bab-89c6-ad9e0707cb90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3511B8-609D-4B85-9C0A-FD8EBE7980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1C86F7-D78C-4F78-907F-B5A49224C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37d9d-9576-4bab-89c6-ad9e0707cb90"/>
    <ds:schemaRef ds:uri="8e922e2c-d434-4569-88ac-67afeec8c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Nutzwertanalyse</vt:lpstr>
      <vt:lpstr>Bewertungsschema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FMZ;Selvarasa Sanjivan</dc:creator>
  <cp:lastModifiedBy>FMZ; Selvarasa Sanjivan</cp:lastModifiedBy>
  <dcterms:created xsi:type="dcterms:W3CDTF">2016-01-07T12:30:48Z</dcterms:created>
  <dcterms:modified xsi:type="dcterms:W3CDTF">2026-03-27T09:27:52Z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</Properties>
</file>