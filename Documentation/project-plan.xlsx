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sanji\Documents\GitHub\Karteikarten-System\Documentation\"/>
    </mc:Choice>
  </mc:AlternateContent>
  <xr:revisionPtr revIDLastSave="0" documentId="13_ncr:1_{D655F11D-A84F-4226-B36F-3C57B21079CC}" xr6:coauthVersionLast="47" xr6:coauthVersionMax="47" xr10:uidLastSave="{00000000-0000-0000-0000-000000000000}"/>
  <bookViews>
    <workbookView xWindow="-108" yWindow="-108" windowWidth="23256" windowHeight="12456"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 l="1"/>
  <c r="B9" i="1" s="1"/>
  <c r="F40" i="1"/>
  <c r="B40" i="1" s="1"/>
  <c r="F39" i="1"/>
  <c r="B39" i="1" s="1"/>
  <c r="F38" i="1"/>
  <c r="B38" i="1" s="1"/>
  <c r="F22" i="1"/>
  <c r="B22" i="1" s="1"/>
  <c r="F21" i="1"/>
  <c r="B21" i="1" s="1"/>
  <c r="F20" i="1"/>
  <c r="B20" i="1" s="1"/>
  <c r="F19" i="1"/>
  <c r="B19" i="1" s="1"/>
  <c r="F18" i="1"/>
  <c r="B18" i="1" s="1"/>
  <c r="F17" i="1"/>
  <c r="B17" i="1" s="1"/>
  <c r="F16" i="1"/>
  <c r="B16" i="1" s="1"/>
  <c r="F23" i="1"/>
  <c r="B23" i="1" s="1"/>
  <c r="F24" i="1"/>
  <c r="B24" i="1" s="1"/>
  <c r="F11" i="1"/>
  <c r="B11" i="1" s="1"/>
  <c r="F26" i="1"/>
  <c r="B26" i="1" s="1"/>
  <c r="F69" i="1"/>
  <c r="B69" i="1" s="1"/>
  <c r="F70" i="1"/>
  <c r="B70" i="1" s="1"/>
  <c r="F71" i="1"/>
  <c r="B71" i="1" s="1"/>
  <c r="F72" i="1"/>
  <c r="B72" i="1" s="1"/>
  <c r="F73" i="1"/>
  <c r="B73" i="1" s="1"/>
  <c r="F74" i="1"/>
  <c r="B74" i="1" s="1"/>
  <c r="F75" i="1"/>
  <c r="B75" i="1" s="1"/>
  <c r="F76" i="1"/>
  <c r="B76" i="1" s="1"/>
  <c r="F77" i="1"/>
  <c r="B77" i="1" s="1"/>
  <c r="F78" i="1"/>
  <c r="B78" i="1" s="1"/>
  <c r="F79" i="1"/>
  <c r="B79" i="1" s="1"/>
  <c r="F80" i="1"/>
  <c r="B80" i="1" s="1"/>
  <c r="F81" i="1"/>
  <c r="B81" i="1" s="1"/>
  <c r="F82" i="1"/>
  <c r="B82" i="1" s="1"/>
  <c r="F83" i="1"/>
  <c r="B83" i="1" s="1"/>
  <c r="F8" i="1"/>
  <c r="F68" i="1"/>
  <c r="B68" i="1" s="1"/>
  <c r="F67" i="1"/>
  <c r="B67" i="1" s="1"/>
  <c r="F66" i="1"/>
  <c r="B66" i="1" s="1"/>
  <c r="F65" i="1"/>
  <c r="B65" i="1" s="1"/>
  <c r="F64" i="1"/>
  <c r="B64" i="1" s="1"/>
  <c r="F63" i="1"/>
  <c r="B63" i="1" s="1"/>
  <c r="F62" i="1"/>
  <c r="B62" i="1" s="1"/>
  <c r="F61" i="1"/>
  <c r="B61" i="1" s="1"/>
  <c r="F60" i="1"/>
  <c r="B60" i="1" s="1"/>
  <c r="F59" i="1"/>
  <c r="B59" i="1" s="1"/>
  <c r="F58" i="1"/>
  <c r="B58" i="1" s="1"/>
  <c r="F57" i="1"/>
  <c r="B57" i="1" s="1"/>
  <c r="F56" i="1"/>
  <c r="B56" i="1" s="1"/>
  <c r="F55" i="1"/>
  <c r="B55" i="1" s="1"/>
  <c r="F54" i="1"/>
  <c r="B54" i="1" s="1"/>
  <c r="F53" i="1"/>
  <c r="B53" i="1" s="1"/>
  <c r="F52" i="1"/>
  <c r="B52" i="1" s="1"/>
  <c r="F36" i="1"/>
  <c r="B36" i="1" s="1"/>
  <c r="F37" i="1"/>
  <c r="B37" i="1" s="1"/>
  <c r="F41" i="1"/>
  <c r="B41" i="1" s="1"/>
  <c r="F42" i="1"/>
  <c r="B42" i="1" s="1"/>
  <c r="F43" i="1"/>
  <c r="B43" i="1" s="1"/>
  <c r="F44" i="1"/>
  <c r="B44" i="1" s="1"/>
  <c r="F45" i="1"/>
  <c r="B45" i="1" s="1"/>
  <c r="F46" i="1"/>
  <c r="B46" i="1" s="1"/>
  <c r="F47" i="1"/>
  <c r="B47" i="1" s="1"/>
  <c r="F48" i="1"/>
  <c r="B48" i="1" s="1"/>
  <c r="F49" i="1"/>
  <c r="B49" i="1" s="1"/>
  <c r="F50" i="1"/>
  <c r="B50" i="1" s="1"/>
  <c r="F51" i="1"/>
  <c r="B51" i="1" s="1"/>
  <c r="F31" i="1"/>
  <c r="B31" i="1" s="1"/>
  <c r="F32" i="1"/>
  <c r="B32" i="1" s="1"/>
  <c r="F33" i="1"/>
  <c r="B33" i="1" s="1"/>
  <c r="F35" i="1"/>
  <c r="B35" i="1" s="1"/>
  <c r="F30" i="1"/>
  <c r="B30" i="1" s="1"/>
  <c r="F34" i="1"/>
  <c r="B34" i="1" s="1"/>
  <c r="F25" i="1"/>
  <c r="B25" i="1" s="1"/>
  <c r="F27" i="1"/>
  <c r="B27" i="1" s="1"/>
  <c r="F28" i="1"/>
  <c r="B28" i="1" s="1"/>
  <c r="F29" i="1"/>
  <c r="B29" i="1" s="1"/>
  <c r="F14" i="1"/>
  <c r="B14" i="1" s="1"/>
  <c r="F15" i="1"/>
  <c r="B15" i="1" s="1"/>
  <c r="F12" i="1" l="1"/>
  <c r="B12" i="1" s="1"/>
  <c r="F13" i="1"/>
  <c r="B13" i="1" s="1"/>
  <c r="F10" i="1" l="1"/>
  <c r="F7" i="1"/>
  <c r="B10" i="1" l="1"/>
  <c r="B8" i="1"/>
  <c r="B7" i="1"/>
</calcChain>
</file>

<file path=xl/sharedStrings.xml><?xml version="1.0" encoding="utf-8"?>
<sst xmlns="http://schemas.openxmlformats.org/spreadsheetml/2006/main" count="217" uniqueCount="99">
  <si>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</si>
  <si>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</si>
  <si>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</si>
  <si>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</si>
  <si>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</si>
  <si>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</si>
  <si>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</si>
  <si>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</si>
  <si>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</si>
  <si>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</si>
  <si>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</si>
  <si>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</si>
  <si>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</si>
  <si>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</si>
  <si>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</si>
  <si>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Features auflisten (CRUD)</t>
  </si>
  <si>
    <t>Wichtige Use-Cases beschreiben </t>
  </si>
  <si>
    <t>Seiten festlegen</t>
  </si>
  <si>
    <t>Zwecks- und Funktionsdefinition</t>
  </si>
  <si>
    <t>Benutzerabläufe festlegen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</si>
  <si>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</si>
  <si>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</si>
  <si>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</si>
  <si>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</si>
  <si>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</si>
  <si>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</si>
  <si>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</si>
  <si>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</si>
  <si>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</si>
  <si>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</si>
  <si>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</si>
  <si>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</si>
  <si>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</si>
  <si>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</si>
  <si>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Fehlerbehandlung für Datenbankzugriffe integrieren</t>
  </si>
  <si>
    <t>Benutzer anlegen</t>
  </si>
  <si>
    <t>Benutzer eindeutig identifizieren</t>
  </si>
  <si>
    <t>Login-Logik implementieren</t>
  </si>
  <si>
    <t>Validierung von Benutzereingaben</t>
  </si>
  <si>
    <t>CRUD-Funktionalität für Tasks implementieren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</si>
  <si>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</si>
  <si>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</si>
  <si>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</si>
  <si>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</si>
  <si>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</si>
  <si>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</si>
  <si>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</si>
  <si>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</si>
  <si>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</si>
  <si>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</si>
  <si>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</si>
  <si>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</si>
  <si>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</si>
  <si>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</si>
  <si>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</si>
  <si>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</si>
  <si>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</si>
  <si>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</si>
  <si>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</si>
  <si>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Phase 2: UX/UI &amp; Struktur                                        2.1: Seitenstruktur</t>
  </si>
  <si>
    <t>2.3: Mockup-Erstellung</t>
  </si>
  <si>
    <t>3.2: Authentifizierung</t>
  </si>
  <si>
    <t>Phase 3: Backend/DB - Basis                                   3.1: Grundsetup</t>
  </si>
  <si>
    <t>Phase 5: Frontend – Kernfunktionen                  5.1: Grundlayout</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</si>
  <si>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</si>
  <si>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</si>
  <si>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</si>
  <si>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</si>
  <si>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</si>
  <si>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</si>
  <si>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</si>
  <si>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</si>
  <si>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</si>
  <si>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</si>
  <si>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</si>
  <si>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</si>
  <si>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</si>
  <si>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</si>
  <si>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</si>
  <si>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</si>
  <si>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</si>
  <si>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</si>
  <si>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</si>
  <si>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</si>
  <si>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</si>
  <si>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</si>
  <si>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</si>
  <si>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</si>
  <si>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</si>
  <si>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</si>
  <si>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Pending</t>
  </si>
  <si>
    <t>Projektauftrag beschreiben</t>
  </si>
  <si>
    <t>SMART Ziele bestimmen</t>
  </si>
  <si>
    <t>1.4: Backend-Design</t>
  </si>
  <si>
    <t>Methoden definieren passend zur DB</t>
  </si>
  <si>
    <t>Backend-Projekt in JS erstellen</t>
  </si>
  <si>
    <t>SQL als lokale Datenbank anbinden</t>
  </si>
  <si>
    <t>3.3: Karteikarten-Logik</t>
  </si>
  <si>
    <t>Dokumentation prüfen auf Vollständigkeit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</si>
</sst>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6">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83" totalsRowShown="0">
  <autoFilter ref="B6:G8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83"/>
  <sheetViews>
    <sheetView showGridLines="0" tabSelected="1" topLeftCell="A63" zoomScaleNormal="100" workbookViewId="0">
      <selection activeCell="C69" sqref="C69"/>
    </sheetView>
  </sheetViews>
  <sheetFormatPr baseColWidth="10" defaultColWidth="8.77734375" defaultRowHeight="30" customHeight="1" x14ac:dyDescent="0.3"/>
  <cols>
    <col min="1" max="1" width="2.5546875" customWidth="1"/>
    <col min="2" max="2" width="1" customWidth="1"/>
    <col min="3" max="3" width="42.5546875" customWidth="1"/>
    <col min="4" max="4" width="18.5546875" customWidth="1"/>
    <col min="5" max="5" width="22.5546875" customWidth="1"/>
    <col min="6" max="6" width="31" customWidth="1"/>
    <col min="7" max="7" width="43.44140625" customWidth="1"/>
    <col min="8" max="8" width="2.5546875" customWidth="1"/>
  </cols>
  <sheetData>
    <row r="1" spans="2:7" ht="33.75" customHeight="1" x14ac:dyDescent="0.3">
      <c r="B1" s="32"/>
      <c r="C1" s="32"/>
    </row>
    <row r="2" spans="2:7" ht="33" customHeight="1" thickBot="1" x14ac:dyDescent="0.35">
      <c r="B2" s="33" t="s">
        <v>0</v>
      </c>
      <c r="C2" s="33"/>
      <c r="D2" s="1" t="s">
        <v>1</v>
      </c>
      <c r="E2" s="2" t="s">
        <v>13</v>
      </c>
      <c r="F2" s="1"/>
      <c r="G2" s="1"/>
    </row>
    <row r="3" spans="2:7" ht="33" customHeight="1" thickTop="1" thickBot="1" x14ac:dyDescent="0.35">
      <c r="B3" s="33"/>
      <c r="C3" s="33"/>
      <c r="D3" s="9" t="s">
        <v>12</v>
      </c>
      <c r="E3" s="4">
        <v>46185</v>
      </c>
      <c r="F3" s="1" t="s">
        <v>2</v>
      </c>
      <c r="G3" s="2" t="s">
        <v>11</v>
      </c>
    </row>
    <row r="4" spans="2:7" ht="28.5" customHeight="1" thickTop="1" x14ac:dyDescent="0.35">
      <c r="B4" s="34" t="s">
        <v>3</v>
      </c>
      <c r="C4" s="34"/>
      <c r="D4" s="34"/>
      <c r="E4" s="34" t="s">
        <v>4</v>
      </c>
      <c r="F4" s="34"/>
      <c r="G4" s="34"/>
    </row>
    <row r="5" spans="2:7" ht="75" customHeight="1" x14ac:dyDescent="0.3">
      <c r="B5" s="35" t="s">
        <v>88</v>
      </c>
      <c r="C5" s="35"/>
      <c r="D5" s="35"/>
      <c r="E5" s="35" t="s">
        <v>78</v>
      </c>
      <c r="F5" s="35"/>
      <c r="G5" s="35"/>
    </row>
    <row r="6" spans="2:7" ht="50.1" customHeight="1" x14ac:dyDescent="0.3">
      <c r="B6" s="3" t="s">
        <v>5</v>
      </c>
      <c r="C6" s="3" t="s">
        <v>6</v>
      </c>
      <c r="D6" s="5" t="s">
        <v>7</v>
      </c>
      <c r="E6" s="5" t="s">
        <v>8</v>
      </c>
      <c r="F6" s="5" t="s">
        <v>9</v>
      </c>
      <c r="G6" s="3" t="s">
        <v>79</v>
      </c>
    </row>
    <row r="7" spans="2:7" ht="30" customHeight="1" x14ac:dyDescent="0.3">
      <c r="B7" s="7" t="str">
        <f ca="1">Tasks[[#This Row],[Status Icon]]</f>
        <v/>
      </c>
      <c r="C7" s="13" t="s">
        <v>56</v>
      </c>
      <c r="D7" s="14"/>
      <c r="E7" s="15"/>
      <c r="F7" s="16" t="str">
        <f ca="1">IFERROR(IF(ISBLANK(Tasks[[#This Row],[Due Date]]),"",IF(Tasks[[#This Row],[Done?]]="Yes",1,IF(OR(Tasks[[#This Row],[Due Date]]&gt;PlanDueDate,Tasks[[#This Row],[Done?]]="No"),-1,IF(OR(OR(Tasks[[#This Row],[Due Date]]=TODAY(),Tasks[[#This Row],[Due Date]]=PlanDueDate),Tasks[[#This Row],[Done?]]="Pending"),0,"")))),"")</f>
        <v/>
      </c>
      <c r="G7" s="25"/>
    </row>
    <row r="8" spans="2:7" ht="30" customHeight="1" x14ac:dyDescent="0.3">
      <c r="B8" s="7">
        <f ca="1">Tasks[[#This Row],[Status Icon]]</f>
        <v>1</v>
      </c>
      <c r="C8" t="s">
        <v>14</v>
      </c>
      <c r="D8" s="6">
        <v>46080</v>
      </c>
      <c r="E8" s="12" t="s">
        <v>77</v>
      </c>
      <c r="F8" s="8">
        <f ca="1">IFERROR(IF(ISBLANK(Tasks[[#This Row],[Due Date]]),"",IF(Tasks[[#This Row],[Done?]]="Yes",1,IF(OR(Tasks[[#This Row],[Due Date]]&gt;PlanDueDate,Tasks[[#This Row],[Done?]]="No"),-1,IF(OR(OR(Tasks[[#This Row],[Due Date]]=TODAY(),Tasks[[#This Row],[Due Date]]=PlanDueDate),Tasks[[#This Row],[Done?]]="Pending"),0,"")))),"")</f>
        <v>1</v>
      </c>
      <c r="G8" s="26" t="s">
        <v>80</v>
      </c>
    </row>
    <row r="9" spans="2:7" ht="30" customHeight="1" x14ac:dyDescent="0.3">
      <c r="B9" s="10">
        <f ca="1">Tasks[[#This Row],[Status Icon]]</f>
        <v>0</v>
      </c>
      <c r="C9" t="s">
        <v>91</v>
      </c>
      <c r="D9" s="6">
        <v>46080</v>
      </c>
      <c r="E9" s="12" t="s">
        <v>90</v>
      </c>
      <c r="F9" s="8">
        <f ca="1">IFERROR(IF(ISBLANK(Tasks[[#This Row],[Due Date]]),"",IF(Tasks[[#This Row],[Done?]]="Yes",1,IF(OR(Tasks[[#This Row],[Due Date]]&gt;PlanDueDate,Tasks[[#This Row],[Done?]]="No"),-1,IF(OR(OR(Tasks[[#This Row],[Due Date]]=TODAY(),Tasks[[#This Row],[Due Date]]=PlanDueDate),Tasks[[#This Row],[Done?]]="Pending"),0,"")))),"")</f>
        <v>0</v>
      </c>
      <c r="G9" s="26" t="s">
        <v>80</v>
      </c>
    </row>
    <row r="10" spans="2:7" ht="30" customHeight="1" x14ac:dyDescent="0.3">
      <c r="B10" s="7">
        <f ca="1">Tasks[[#This Row],[Status Icon]]</f>
        <v>-1</v>
      </c>
      <c r="C10" t="s">
        <v>92</v>
      </c>
      <c r="D10" s="6">
        <v>46080</v>
      </c>
      <c r="E10" s="12" t="s">
        <v>10</v>
      </c>
      <c r="F10" s="8">
        <f ca="1">IFERROR(IF(ISBLANK(Tasks[[#This Row],[Due Date]]),"",IF(Tasks[[#This Row],[Done?]]="Yes",1,IF(OR(Tasks[[#This Row],[Due Date]]&gt;PlanDueDate,Tasks[[#This Row],[Done?]]="No"),-1,IF(OR(OR(Tasks[[#This Row],[Due Date]]=TODAY(),Tasks[[#This Row],[Due Date]]=PlanDueDate),Tasks[[#This Row],[Done?]]="Pending"),0,"")))),"")</f>
        <v>-1</v>
      </c>
      <c r="G10" s="26" t="s">
        <v>80</v>
      </c>
    </row>
    <row r="11" spans="2:7" ht="30" customHeight="1" x14ac:dyDescent="0.3">
      <c r="B11" s="10">
        <f ca="1">Tasks[[#This Row],[Status Icon]]</f>
        <v>0</v>
      </c>
      <c r="C11" t="s">
        <v>81</v>
      </c>
      <c r="D11" s="6">
        <v>46080</v>
      </c>
      <c r="E11" s="12" t="s">
        <v>90</v>
      </c>
      <c r="F11" s="8">
        <f ca="1">IFERROR(IF(ISBLANK(Tasks[[#This Row],[Due Date]]),"",IF(Tasks[[#This Row],[Done?]]="Yes",1,IF(OR(Tasks[[#This Row],[Due Date]]&gt;PlanDueDate,Tasks[[#This Row],[Done?]]="No"),-1,IF(OR(OR(Tasks[[#This Row],[Due Date]]=TODAY(),Tasks[[#This Row],[Due Date]]=PlanDueDate),Tasks[[#This Row],[Done?]]="Pending"),0,"")))),"")</f>
        <v>0</v>
      </c>
      <c r="G11" s="26" t="s">
        <v>80</v>
      </c>
    </row>
    <row r="12" spans="2:7" ht="30" customHeight="1" x14ac:dyDescent="0.3">
      <c r="B12" s="10" t="str">
        <f ca="1">Tasks[[#This Row],[Status Icon]]</f>
        <v/>
      </c>
      <c r="C12" s="17" t="s">
        <v>57</v>
      </c>
      <c r="D12" s="18"/>
      <c r="E12" s="19"/>
      <c r="F12" s="20" t="str">
        <f ca="1">IFERROR(IF(ISBLANK(Tasks[[#This Row],[Due Date]]),"",IF(Tasks[[#This Row],[Done?]]="Yes",1,IF(OR(Tasks[[#This Row],[Due Date]]&gt;PlanDueDate,Tasks[[#This Row],[Done?]]="No"),-1,IF(OR(OR(Tasks[[#This Row],[Due Date]]=TODAY(),Tasks[[#This Row],[Due Date]]=PlanDueDate),Tasks[[#This Row],[Done?]]="Pending"),0,"")))),"")</f>
        <v/>
      </c>
      <c r="G12" s="27"/>
    </row>
    <row r="13" spans="2:7" ht="30" customHeight="1" x14ac:dyDescent="0.3">
      <c r="B13" s="10">
        <f ca="1">Tasks[[#This Row],[Status Icon]]</f>
        <v>-1</v>
      </c>
      <c r="C13" t="s">
        <v>15</v>
      </c>
      <c r="D13" s="11">
        <v>46079</v>
      </c>
      <c r="E13" s="12" t="s">
        <v>10</v>
      </c>
      <c r="F13" s="10">
        <f ca="1">IFERROR(IF(ISBLANK(Tasks[[#This Row],[Due Date]]),"",IF(Tasks[[#This Row],[Done?]]="Yes",1,IF(OR(Tasks[[#This Row],[Due Date]]&gt;PlanDueDate,Tasks[[#This Row],[Done?]]="No"),-1,IF(OR(OR(Tasks[[#This Row],[Due Date]]=TODAY(),Tasks[[#This Row],[Due Date]]=PlanDueDate),Tasks[[#This Row],[Done?]]="Pending"),0,"")))),"")</f>
        <v>-1</v>
      </c>
      <c r="G13" s="26" t="s">
        <v>80</v>
      </c>
    </row>
    <row r="14" spans="2:7" ht="30" customHeight="1" x14ac:dyDescent="0.3">
      <c r="B14" s="10">
        <f ca="1">Tasks[[#This Row],[Status Icon]]</f>
        <v>-1</v>
      </c>
      <c r="C14" t="s">
        <v>16</v>
      </c>
      <c r="D14" s="11">
        <v>46079</v>
      </c>
      <c r="E14" s="12" t="s">
        <v>10</v>
      </c>
      <c r="F14" s="10">
        <f ca="1">IFERROR(IF(ISBLANK(Tasks[[#This Row],[Due Date]]),"",IF(Tasks[[#This Row],[Done?]]="Yes",1,IF(OR(Tasks[[#This Row],[Due Date]]&gt;PlanDueDate,Tasks[[#This Row],[Done?]]="No"),-1,IF(OR(OR(Tasks[[#This Row],[Due Date]]=TODAY(),Tasks[[#This Row],[Due Date]]=PlanDueDate),Tasks[[#This Row],[Done?]]="Pending"),0,"")))),"")</f>
        <v>-1</v>
      </c>
      <c r="G14" s="26" t="s">
        <v>83</v>
      </c>
    </row>
    <row r="15" spans="2:7" ht="30" customHeight="1" x14ac:dyDescent="0.3">
      <c r="B15" s="10" t="str">
        <f ca="1">Tasks[[#This Row],[Status Icon]]</f>
        <v/>
      </c>
      <c r="C15" s="21" t="s">
        <v>58</v>
      </c>
      <c r="D15" s="22"/>
      <c r="E15" s="23"/>
      <c r="F15" s="24" t="str">
        <f ca="1">IFERROR(IF(ISBLANK(Tasks[[#This Row],[Due Date]]),"",IF(Tasks[[#This Row],[Done?]]="Yes",1,IF(OR(Tasks[[#This Row],[Due Date]]&gt;PlanDueDate,Tasks[[#This Row],[Done?]]="No"),-1,IF(OR(OR(Tasks[[#This Row],[Due Date]]=TODAY(),Tasks[[#This Row],[Due Date]]=PlanDueDate),Tasks[[#This Row],[Done?]]="Pending"),0,"")))),"")</f>
        <v/>
      </c>
      <c r="G15" s="28"/>
    </row>
    <row r="16" spans="2:7" ht="30" customHeight="1" x14ac:dyDescent="0.3">
      <c r="B16" s="10">
        <f ca="1">Tasks[[#This Row],[Status Icon]]</f>
        <v>-1</v>
      </c>
      <c r="C16" t="s">
        <v>25</v>
      </c>
      <c r="D16" s="11">
        <v>46086</v>
      </c>
      <c r="E16" s="12" t="s">
        <v>10</v>
      </c>
      <c r="F16" s="10">
        <f ca="1">IFERROR(IF(ISBLANK(Tasks[[#This Row],[Due Date]]),"",IF(Tasks[[#This Row],[Done?]]="Yes",1,IF(OR(Tasks[[#This Row],[Due Date]]&gt;PlanDueDate,Tasks[[#This Row],[Done?]]="No"),-1,IF(OR(OR(Tasks[[#This Row],[Due Date]]=TODAY(),Tasks[[#This Row],[Due Date]]=PlanDueDate),Tasks[[#This Row],[Done?]]="Pending"),0,"")))),"")</f>
        <v>-1</v>
      </c>
      <c r="G16" s="26" t="s">
        <v>80</v>
      </c>
    </row>
    <row r="17" spans="2:7" ht="30" customHeight="1" x14ac:dyDescent="0.3">
      <c r="B17" s="10">
        <f ca="1">Tasks[[#This Row],[Status Icon]]</f>
        <v>-1</v>
      </c>
      <c r="C17" t="s">
        <v>26</v>
      </c>
      <c r="D17" s="11">
        <v>46086</v>
      </c>
      <c r="E17" s="12" t="s">
        <v>10</v>
      </c>
      <c r="F17" s="10">
        <f ca="1">IFERROR(IF(ISBLANK(Tasks[[#This Row],[Due Date]]),"",IF(Tasks[[#This Row],[Done?]]="Yes",1,IF(OR(Tasks[[#This Row],[Due Date]]&gt;PlanDueDate,Tasks[[#This Row],[Done?]]="No"),-1,IF(OR(OR(Tasks[[#This Row],[Due Date]]=TODAY(),Tasks[[#This Row],[Due Date]]=PlanDueDate),Tasks[[#This Row],[Done?]]="Pending"),0,"")))),"")</f>
        <v>-1</v>
      </c>
      <c r="G17" s="26" t="s">
        <v>82</v>
      </c>
    </row>
    <row r="18" spans="2:7" ht="30" customHeight="1" x14ac:dyDescent="0.3">
      <c r="B18" s="10">
        <f ca="1">Tasks[[#This Row],[Status Icon]]</f>
        <v>-1</v>
      </c>
      <c r="C18" t="s">
        <v>27</v>
      </c>
      <c r="D18" s="11">
        <v>46086</v>
      </c>
      <c r="E18" s="12" t="s">
        <v>10</v>
      </c>
      <c r="F18" s="10">
        <f ca="1">IFERROR(IF(ISBLANK(Tasks[[#This Row],[Due Date]]),"",IF(Tasks[[#This Row],[Done?]]="Yes",1,IF(OR(Tasks[[#This Row],[Due Date]]&gt;PlanDueDate,Tasks[[#This Row],[Done?]]="No"),-1,IF(OR(OR(Tasks[[#This Row],[Due Date]]=TODAY(),Tasks[[#This Row],[Due Date]]=PlanDueDate),Tasks[[#This Row],[Done?]]="Pending"),0,"")))),"")</f>
        <v>-1</v>
      </c>
      <c r="G18" s="26" t="s">
        <v>82</v>
      </c>
    </row>
    <row r="19" spans="2:7" ht="30" customHeight="1" x14ac:dyDescent="0.3">
      <c r="B19" s="10">
        <f ca="1">Tasks[[#This Row],[Status Icon]]</f>
        <v>-1</v>
      </c>
      <c r="C19" t="s">
        <v>28</v>
      </c>
      <c r="D19" s="11">
        <v>46086</v>
      </c>
      <c r="E19" s="12" t="s">
        <v>10</v>
      </c>
      <c r="F19" s="10">
        <f ca="1">IFERROR(IF(ISBLANK(Tasks[[#This Row],[Due Date]]),"",IF(Tasks[[#This Row],[Done?]]="Yes",1,IF(OR(Tasks[[#This Row],[Due Date]]&gt;PlanDueDate,Tasks[[#This Row],[Done?]]="No"),-1,IF(OR(OR(Tasks[[#This Row],[Due Date]]=TODAY(),Tasks[[#This Row],[Due Date]]=PlanDueDate),Tasks[[#This Row],[Done?]]="Pending"),0,"")))),"")</f>
        <v>-1</v>
      </c>
      <c r="G19" s="26" t="s">
        <v>82</v>
      </c>
    </row>
    <row r="20" spans="2:7" ht="30" customHeight="1" x14ac:dyDescent="0.3">
      <c r="B20" s="10">
        <f ca="1">Tasks[[#This Row],[Status Icon]]</f>
        <v>-1</v>
      </c>
      <c r="C20" t="s">
        <v>29</v>
      </c>
      <c r="D20" s="11">
        <v>46086</v>
      </c>
      <c r="E20" s="12" t="s">
        <v>10</v>
      </c>
      <c r="F20" s="10">
        <f ca="1">IFERROR(IF(ISBLANK(Tasks[[#This Row],[Due Date]]),"",IF(Tasks[[#This Row],[Done?]]="Yes",1,IF(OR(Tasks[[#This Row],[Due Date]]&gt;PlanDueDate,Tasks[[#This Row],[Done?]]="No"),-1,IF(OR(OR(Tasks[[#This Row],[Due Date]]=TODAY(),Tasks[[#This Row],[Due Date]]=PlanDueDate),Tasks[[#This Row],[Done?]]="Pending"),0,"")))),"")</f>
        <v>-1</v>
      </c>
      <c r="G20" s="26" t="s">
        <v>80</v>
      </c>
    </row>
    <row r="21" spans="2:7" ht="30" customHeight="1" x14ac:dyDescent="0.3">
      <c r="B21" s="10">
        <f ca="1">Tasks[[#This Row],[Status Icon]]</f>
        <v>-1</v>
      </c>
      <c r="C21" t="s">
        <v>30</v>
      </c>
      <c r="D21" s="11">
        <v>46086</v>
      </c>
      <c r="E21" s="12" t="s">
        <v>10</v>
      </c>
      <c r="F21" s="10">
        <f ca="1">IFERROR(IF(ISBLANK(Tasks[[#This Row],[Due Date]]),"",IF(Tasks[[#This Row],[Done?]]="Yes",1,IF(OR(Tasks[[#This Row],[Due Date]]&gt;PlanDueDate,Tasks[[#This Row],[Done?]]="No"),-1,IF(OR(OR(Tasks[[#This Row],[Due Date]]=TODAY(),Tasks[[#This Row],[Due Date]]=PlanDueDate),Tasks[[#This Row],[Done?]]="Pending"),0,"")))),"")</f>
        <v>-1</v>
      </c>
      <c r="G21" s="26" t="s">
        <v>83</v>
      </c>
    </row>
    <row r="22" spans="2:7" ht="30" customHeight="1" x14ac:dyDescent="0.3">
      <c r="B22" s="10">
        <f ca="1">Tasks[[#This Row],[Status Icon]]</f>
        <v>-1</v>
      </c>
      <c r="C22" t="s">
        <v>31</v>
      </c>
      <c r="D22" s="11">
        <v>46086</v>
      </c>
      <c r="E22" s="12" t="s">
        <v>10</v>
      </c>
      <c r="F22" s="10">
        <f ca="1">IFERROR(IF(ISBLANK(Tasks[[#This Row],[Due Date]]),"",IF(Tasks[[#This Row],[Done?]]="Yes",1,IF(OR(Tasks[[#This Row],[Due Date]]&gt;PlanDueDate,Tasks[[#This Row],[Done?]]="No"),-1,IF(OR(OR(Tasks[[#This Row],[Due Date]]=TODAY(),Tasks[[#This Row],[Due Date]]=PlanDueDate),Tasks[[#This Row],[Done?]]="Pending"),0,"")))),"")</f>
        <v>-1</v>
      </c>
      <c r="G22" s="26" t="s">
        <v>83</v>
      </c>
    </row>
    <row r="23" spans="2:7" ht="30" customHeight="1" x14ac:dyDescent="0.3">
      <c r="B23" s="10" t="str">
        <f ca="1">Tasks[[#This Row],[Status Icon]]</f>
        <v/>
      </c>
      <c r="C23" s="21" t="s">
        <v>93</v>
      </c>
      <c r="D23" s="22"/>
      <c r="E23" s="23"/>
      <c r="F23" s="24" t="str">
        <f ca="1">IFERROR(IF(ISBLANK(Tasks[[#This Row],[Due Date]]),"",IF(Tasks[[#This Row],[Done?]]="Yes",1,IF(OR(Tasks[[#This Row],[Due Date]]&gt;PlanDueDate,Tasks[[#This Row],[Done?]]="No"),-1,IF(OR(OR(Tasks[[#This Row],[Due Date]]=TODAY(),Tasks[[#This Row],[Due Date]]=PlanDueDate),Tasks[[#This Row],[Done?]]="Pending"),0,"")))),"")</f>
        <v/>
      </c>
      <c r="G23" s="24"/>
    </row>
    <row r="24" spans="2:7" ht="30" customHeight="1" x14ac:dyDescent="0.3">
      <c r="B24" s="10">
        <f ca="1">Tasks[[#This Row],[Status Icon]]</f>
        <v>-1</v>
      </c>
      <c r="C24" t="s">
        <v>94</v>
      </c>
      <c r="D24" s="11">
        <v>46093</v>
      </c>
      <c r="E24" s="12" t="s">
        <v>10</v>
      </c>
      <c r="F24" s="10">
        <f ca="1">IFERROR(IF(ISBLANK(Tasks[[#This Row],[Due Date]]),"",IF(Tasks[[#This Row],[Done?]]="Yes",1,IF(OR(Tasks[[#This Row],[Due Date]]&gt;PlanDueDate,Tasks[[#This Row],[Done?]]="No"),-1,IF(OR(OR(Tasks[[#This Row],[Due Date]]=TODAY(),Tasks[[#This Row],[Due Date]]=PlanDueDate),Tasks[[#This Row],[Done?]]="Pending"),0,"")))),"")</f>
        <v>-1</v>
      </c>
      <c r="G24" s="29" t="s">
        <v>80</v>
      </c>
    </row>
    <row r="25" spans="2:7" ht="30" customHeight="1" x14ac:dyDescent="0.3">
      <c r="B25" s="10" t="str">
        <f ca="1">Tasks[[#This Row],[Status Icon]]</f>
        <v/>
      </c>
      <c r="C25" s="13" t="s">
        <v>59</v>
      </c>
      <c r="D25" s="30"/>
      <c r="E25" s="31"/>
      <c r="F25" s="16" t="str">
        <f ca="1">IFERROR(IF(ISBLANK(Tasks[[#This Row],[Due Date]]),"",IF(Tasks[[#This Row],[Done?]]="Yes",1,IF(OR(Tasks[[#This Row],[Due Date]]&gt;PlanDueDate,Tasks[[#This Row],[Done?]]="No"),-1,IF(OR(OR(Tasks[[#This Row],[Due Date]]=TODAY(),Tasks[[#This Row],[Due Date]]=PlanDueDate),Tasks[[#This Row],[Done?]]="Pending"),0,"")))),"")</f>
        <v/>
      </c>
      <c r="G25" s="16"/>
    </row>
    <row r="26" spans="2:7" ht="30" customHeight="1" x14ac:dyDescent="0.3">
      <c r="B26" s="10">
        <f ca="1">Tasks[[#This Row],[Status Icon]]</f>
        <v>-1</v>
      </c>
      <c r="C26" t="s">
        <v>17</v>
      </c>
      <c r="D26" s="11">
        <v>46100</v>
      </c>
      <c r="E26" s="12" t="s">
        <v>10</v>
      </c>
      <c r="F26" s="10">
        <f ca="1">IFERROR(IF(ISBLANK(Tasks[[#This Row],[Due Date]]),"",IF(Tasks[[#This Row],[Done?]]="Yes",1,IF(OR(Tasks[[#This Row],[Due Date]]&gt;PlanDueDate,Tasks[[#This Row],[Done?]]="No"),-1,IF(OR(OR(Tasks[[#This Row],[Due Date]]=TODAY(),Tasks[[#This Row],[Due Date]]=PlanDueDate),Tasks[[#This Row],[Done?]]="Pending"),0,"")))),"")</f>
        <v>-1</v>
      </c>
      <c r="G26" s="10" t="s">
        <v>80</v>
      </c>
    </row>
    <row r="27" spans="2:7" ht="30" customHeight="1" x14ac:dyDescent="0.3">
      <c r="B27" s="10">
        <f ca="1">Tasks[[#This Row],[Status Icon]]</f>
        <v>-1</v>
      </c>
      <c r="C27" t="s">
        <v>18</v>
      </c>
      <c r="D27" s="11">
        <v>46100</v>
      </c>
      <c r="E27" s="12" t="s">
        <v>10</v>
      </c>
      <c r="F27" s="10">
        <f ca="1">IFERROR(IF(ISBLANK(Tasks[[#This Row],[Due Date]]),"",IF(Tasks[[#This Row],[Done?]]="Yes",1,IF(OR(Tasks[[#This Row],[Due Date]]&gt;PlanDueDate,Tasks[[#This Row],[Done?]]="No"),-1,IF(OR(OR(Tasks[[#This Row],[Due Date]]=TODAY(),Tasks[[#This Row],[Due Date]]=PlanDueDate),Tasks[[#This Row],[Done?]]="Pending"),0,"")))),"")</f>
        <v>-1</v>
      </c>
      <c r="G27" s="10" t="s">
        <v>82</v>
      </c>
    </row>
    <row r="28" spans="2:7" ht="30" customHeight="1" x14ac:dyDescent="0.3">
      <c r="B28" s="10">
        <f ca="1">Tasks[[#This Row],[Status Icon]]</f>
        <v>-1</v>
      </c>
      <c r="C28" t="s">
        <v>84</v>
      </c>
      <c r="D28" s="11">
        <v>46100</v>
      </c>
      <c r="E28" s="12" t="s">
        <v>10</v>
      </c>
      <c r="F28" s="10">
        <f ca="1">IFERROR(IF(ISBLANK(Tasks[[#This Row],[Due Date]]),"",IF(Tasks[[#This Row],[Done?]]="Yes",1,IF(OR(Tasks[[#This Row],[Due Date]]&gt;PlanDueDate,Tasks[[#This Row],[Done?]]="No"),-1,IF(OR(OR(Tasks[[#This Row],[Due Date]]=TODAY(),Tasks[[#This Row],[Due Date]]=PlanDueDate),Tasks[[#This Row],[Done?]]="Pending"),0,"")))),"")</f>
        <v>-1</v>
      </c>
      <c r="G28" s="10" t="s">
        <v>82</v>
      </c>
    </row>
    <row r="29" spans="2:7" ht="30" customHeight="1" x14ac:dyDescent="0.3">
      <c r="B29" s="10">
        <f ca="1">Tasks[[#This Row],[Status Icon]]</f>
        <v>-1</v>
      </c>
      <c r="C29" t="s">
        <v>19</v>
      </c>
      <c r="D29" s="11">
        <v>46100</v>
      </c>
      <c r="E29" s="12" t="s">
        <v>10</v>
      </c>
      <c r="F29" s="10">
        <f ca="1">IFERROR(IF(ISBLANK(Tasks[[#This Row],[Due Date]]),"",IF(Tasks[[#This Row],[Done?]]="Yes",1,IF(OR(Tasks[[#This Row],[Due Date]]&gt;PlanDueDate,Tasks[[#This Row],[Done?]]="No"),-1,IF(OR(OR(Tasks[[#This Row],[Due Date]]=TODAY(),Tasks[[#This Row],[Due Date]]=PlanDueDate),Tasks[[#This Row],[Done?]]="Pending"),0,"")))),"")</f>
        <v>-1</v>
      </c>
      <c r="G29" s="10" t="s">
        <v>80</v>
      </c>
    </row>
    <row r="30" spans="2:7" ht="30" customHeight="1" x14ac:dyDescent="0.3">
      <c r="B30" s="10" t="str">
        <f ca="1">Tasks[[#This Row],[Status Icon]]</f>
        <v/>
      </c>
      <c r="C30" s="13" t="s">
        <v>60</v>
      </c>
      <c r="D30" s="30"/>
      <c r="E30" s="31"/>
      <c r="F30" s="16" t="str">
        <f ca="1">IFERROR(IF(ISBLANK(Tasks[[#This Row],[Due Date]]),"",IF(Tasks[[#This Row],[Done?]]="Yes",1,IF(OR(Tasks[[#This Row],[Due Date]]&gt;PlanDueDate,Tasks[[#This Row],[Done?]]="No"),-1,IF(OR(OR(Tasks[[#This Row],[Due Date]]=TODAY(),Tasks[[#This Row],[Due Date]]=PlanDueDate),Tasks[[#This Row],[Done?]]="Pending"),0,"")))),"")</f>
        <v/>
      </c>
      <c r="G30" s="25"/>
    </row>
    <row r="31" spans="2:7" ht="30" customHeight="1" x14ac:dyDescent="0.3">
      <c r="B31" s="10">
        <f ca="1">Tasks[[#This Row],[Status Icon]]</f>
        <v>-1</v>
      </c>
      <c r="C31" t="s">
        <v>21</v>
      </c>
      <c r="D31" s="11">
        <v>46107</v>
      </c>
      <c r="E31" s="12" t="s">
        <v>10</v>
      </c>
      <c r="F31" s="10">
        <f ca="1">IFERROR(IF(ISBLANK(Tasks[[#This Row],[Due Date]]),"",IF(Tasks[[#This Row],[Done?]]="Yes",1,IF(OR(Tasks[[#This Row],[Due Date]]&gt;PlanDueDate,Tasks[[#This Row],[Done?]]="No"),-1,IF(OR(OR(Tasks[[#This Row],[Due Date]]=TODAY(),Tasks[[#This Row],[Due Date]]=PlanDueDate),Tasks[[#This Row],[Done?]]="Pending"),0,"")))),"")</f>
        <v>-1</v>
      </c>
      <c r="G31" s="26" t="s">
        <v>80</v>
      </c>
    </row>
    <row r="32" spans="2:7" ht="30" customHeight="1" x14ac:dyDescent="0.3">
      <c r="B32" s="10">
        <f ca="1">Tasks[[#This Row],[Status Icon]]</f>
        <v>-1</v>
      </c>
      <c r="C32" t="s">
        <v>22</v>
      </c>
      <c r="D32" s="11">
        <v>46107</v>
      </c>
      <c r="E32" s="12" t="s">
        <v>10</v>
      </c>
      <c r="F32" s="10">
        <f ca="1">IFERROR(IF(ISBLANK(Tasks[[#This Row],[Due Date]]),"",IF(Tasks[[#This Row],[Done?]]="Yes",1,IF(OR(Tasks[[#This Row],[Due Date]]&gt;PlanDueDate,Tasks[[#This Row],[Done?]]="No"),-1,IF(OR(OR(Tasks[[#This Row],[Due Date]]=TODAY(),Tasks[[#This Row],[Due Date]]=PlanDueDate),Tasks[[#This Row],[Done?]]="Pending"),0,"")))),"")</f>
        <v>-1</v>
      </c>
      <c r="G32" s="26" t="s">
        <v>80</v>
      </c>
    </row>
    <row r="33" spans="2:7" ht="30" customHeight="1" x14ac:dyDescent="0.3">
      <c r="B33" s="10">
        <f ca="1">Tasks[[#This Row],[Status Icon]]</f>
        <v>-1</v>
      </c>
      <c r="C33" t="s">
        <v>23</v>
      </c>
      <c r="D33" s="11">
        <v>46107</v>
      </c>
      <c r="E33" s="12" t="s">
        <v>10</v>
      </c>
      <c r="F33" s="10">
        <f ca="1">IFERROR(IF(ISBLANK(Tasks[[#This Row],[Due Date]]),"",IF(Tasks[[#This Row],[Done?]]="Yes",1,IF(OR(Tasks[[#This Row],[Due Date]]&gt;PlanDueDate,Tasks[[#This Row],[Done?]]="No"),-1,IF(OR(OR(Tasks[[#This Row],[Due Date]]=TODAY(),Tasks[[#This Row],[Due Date]]=PlanDueDate),Tasks[[#This Row],[Done?]]="Pending"),0,"")))),"")</f>
        <v>-1</v>
      </c>
      <c r="G33" s="26" t="s">
        <v>80</v>
      </c>
    </row>
    <row r="34" spans="2:7" ht="30" customHeight="1" x14ac:dyDescent="0.3">
      <c r="B34" s="10">
        <f ca="1">Tasks[[#This Row],[Status Icon]]</f>
        <v>-1</v>
      </c>
      <c r="C34" t="s">
        <v>20</v>
      </c>
      <c r="D34" s="11">
        <v>46112</v>
      </c>
      <c r="E34" s="12" t="s">
        <v>10</v>
      </c>
      <c r="F34" s="10">
        <f ca="1">IFERROR(IF(ISBLANK(Tasks[[#This Row],[Due Date]]),"",IF(Tasks[[#This Row],[Done?]]="Yes",1,IF(OR(Tasks[[#This Row],[Due Date]]&gt;PlanDueDate,Tasks[[#This Row],[Done?]]="No"),-1,IF(OR(OR(Tasks[[#This Row],[Due Date]]=TODAY(),Tasks[[#This Row],[Due Date]]=PlanDueDate),Tasks[[#This Row],[Done?]]="Pending"),0,"")))),"")</f>
        <v>-1</v>
      </c>
      <c r="G34" s="26" t="s">
        <v>80</v>
      </c>
    </row>
    <row r="35" spans="2:7" ht="30" customHeight="1" x14ac:dyDescent="0.3">
      <c r="B35" s="10">
        <f ca="1">Tasks[[#This Row],[Status Icon]]</f>
        <v>-1</v>
      </c>
      <c r="C35" t="s">
        <v>24</v>
      </c>
      <c r="D35" s="11">
        <v>46112</v>
      </c>
      <c r="E35" s="12" t="s">
        <v>10</v>
      </c>
      <c r="F35" s="10">
        <f ca="1">IFERROR(IF(ISBLANK(Tasks[[#This Row],[Due Date]]),"",IF(Tasks[[#This Row],[Done?]]="Yes",1,IF(OR(Tasks[[#This Row],[Due Date]]&gt;PlanDueDate,Tasks[[#This Row],[Done?]]="No"),-1,IF(OR(OR(Tasks[[#This Row],[Due Date]]=TODAY(),Tasks[[#This Row],[Due Date]]=PlanDueDate),Tasks[[#This Row],[Done?]]="Pending"),0,"")))),"")</f>
        <v>-1</v>
      </c>
      <c r="G35" s="26" t="s">
        <v>80</v>
      </c>
    </row>
    <row r="36" spans="2:7" ht="30" customHeight="1" x14ac:dyDescent="0.3">
      <c r="B36" s="10" t="str">
        <f ca="1">Tasks[[#This Row],[Status Icon]]</f>
        <v/>
      </c>
      <c r="C36" s="21" t="s">
        <v>62</v>
      </c>
      <c r="D36" s="22"/>
      <c r="E36" s="23"/>
      <c r="F36" s="24" t="str">
        <f ca="1">IFERROR(IF(ISBLANK(Tasks[[#This Row],[Due Date]]),"",IF(Tasks[[#This Row],[Done?]]="Yes",1,IF(OR(Tasks[[#This Row],[Due Date]]&gt;PlanDueDate,Tasks[[#This Row],[Done?]]="No"),-1,IF(OR(OR(Tasks[[#This Row],[Due Date]]=TODAY(),Tasks[[#This Row],[Due Date]]=PlanDueDate),Tasks[[#This Row],[Done?]]="Pending"),0,"")))),"")</f>
        <v/>
      </c>
      <c r="G36" s="28"/>
    </row>
    <row r="37" spans="2:7" ht="30" customHeight="1" x14ac:dyDescent="0.3">
      <c r="B37" s="10">
        <f ca="1">Tasks[[#This Row],[Status Icon]]</f>
        <v>-1</v>
      </c>
      <c r="C37" t="s">
        <v>32</v>
      </c>
      <c r="D37" s="11">
        <v>46107</v>
      </c>
      <c r="E37" s="12" t="s">
        <v>10</v>
      </c>
      <c r="F37" s="10">
        <f ca="1">IFERROR(IF(ISBLANK(Tasks[[#This Row],[Due Date]]),"",IF(Tasks[[#This Row],[Done?]]="Yes",1,IF(OR(Tasks[[#This Row],[Due Date]]&gt;PlanDueDate,Tasks[[#This Row],[Done?]]="No"),-1,IF(OR(OR(Tasks[[#This Row],[Due Date]]=TODAY(),Tasks[[#This Row],[Due Date]]=PlanDueDate),Tasks[[#This Row],[Done?]]="Pending"),0,"")))),"")</f>
        <v>-1</v>
      </c>
      <c r="G37" s="26" t="s">
        <v>82</v>
      </c>
    </row>
    <row r="38" spans="2:7" ht="30" customHeight="1" x14ac:dyDescent="0.3">
      <c r="B38" s="10">
        <f ca="1">Tasks[[#This Row],[Status Icon]]</f>
        <v>-1</v>
      </c>
      <c r="C38" t="s">
        <v>85</v>
      </c>
      <c r="D38" s="11">
        <v>46107</v>
      </c>
      <c r="E38" s="12" t="s">
        <v>10</v>
      </c>
      <c r="F38" s="10">
        <f ca="1">IFERROR(IF(ISBLANK(Tasks[[#This Row],[Due Date]]),"",IF(Tasks[[#This Row],[Done?]]="Yes",1,IF(OR(Tasks[[#This Row],[Due Date]]&gt;PlanDueDate,Tasks[[#This Row],[Done?]]="No"),-1,IF(OR(OR(Tasks[[#This Row],[Due Date]]=TODAY(),Tasks[[#This Row],[Due Date]]=PlanDueDate),Tasks[[#This Row],[Done?]]="Pending"),0,"")))),"")</f>
        <v>-1</v>
      </c>
      <c r="G38" s="26" t="s">
        <v>82</v>
      </c>
    </row>
    <row r="39" spans="2:7" ht="30" customHeight="1" x14ac:dyDescent="0.3">
      <c r="B39" s="10">
        <f ca="1">Tasks[[#This Row],[Status Icon]]</f>
        <v>-1</v>
      </c>
      <c r="C39" t="s">
        <v>86</v>
      </c>
      <c r="D39" s="11">
        <v>46112</v>
      </c>
      <c r="E39" s="12" t="s">
        <v>10</v>
      </c>
      <c r="F39" s="10">
        <f ca="1">IFERROR(IF(ISBLANK(Tasks[[#This Row],[Due Date]]),"",IF(Tasks[[#This Row],[Done?]]="Yes",1,IF(OR(Tasks[[#This Row],[Due Date]]&gt;PlanDueDate,Tasks[[#This Row],[Done?]]="No"),-1,IF(OR(OR(Tasks[[#This Row],[Due Date]]=TODAY(),Tasks[[#This Row],[Due Date]]=PlanDueDate),Tasks[[#This Row],[Done?]]="Pending"),0,"")))),"")</f>
        <v>-1</v>
      </c>
      <c r="G39" s="26" t="s">
        <v>82</v>
      </c>
    </row>
    <row r="40" spans="2:7" ht="30" customHeight="1" x14ac:dyDescent="0.3">
      <c r="B40" s="10">
        <f ca="1">Tasks[[#This Row],[Status Icon]]</f>
        <v>-1</v>
      </c>
      <c r="C40" t="s">
        <v>87</v>
      </c>
      <c r="D40" s="11">
        <v>46112</v>
      </c>
      <c r="E40" s="12" t="s">
        <v>10</v>
      </c>
      <c r="F40" s="10">
        <f ca="1">IFERROR(IF(ISBLANK(Tasks[[#This Row],[Due Date]]),"",IF(Tasks[[#This Row],[Done?]]="Yes",1,IF(OR(Tasks[[#This Row],[Due Date]]&gt;PlanDueDate,Tasks[[#This Row],[Done?]]="No"),-1,IF(OR(OR(Tasks[[#This Row],[Due Date]]=TODAY(),Tasks[[#This Row],[Due Date]]=PlanDueDate),Tasks[[#This Row],[Done?]]="Pending"),0,"")))),"")</f>
        <v>-1</v>
      </c>
      <c r="G40" s="26" t="s">
        <v>82</v>
      </c>
    </row>
    <row r="41" spans="2:7" ht="30" customHeight="1" x14ac:dyDescent="0.3">
      <c r="B41" s="10">
        <f ca="1">Tasks[[#This Row],[Status Icon]]</f>
        <v>-1</v>
      </c>
      <c r="C41" t="s">
        <v>33</v>
      </c>
      <c r="D41" s="11">
        <v>46135</v>
      </c>
      <c r="E41" s="12" t="s">
        <v>10</v>
      </c>
      <c r="F41" s="10">
        <f ca="1">IFERROR(IF(ISBLANK(Tasks[[#This Row],[Due Date]]),"",IF(Tasks[[#This Row],[Done?]]="Yes",1,IF(OR(Tasks[[#This Row],[Due Date]]&gt;PlanDueDate,Tasks[[#This Row],[Done?]]="No"),-1,IF(OR(OR(Tasks[[#This Row],[Due Date]]=TODAY(),Tasks[[#This Row],[Due Date]]=PlanDueDate),Tasks[[#This Row],[Done?]]="Pending"),0,"")))),"")</f>
        <v>-1</v>
      </c>
      <c r="G41" s="26" t="s">
        <v>80</v>
      </c>
    </row>
    <row r="42" spans="2:7" ht="30" customHeight="1" x14ac:dyDescent="0.3">
      <c r="B42" s="10">
        <f ca="1">Tasks[[#This Row],[Status Icon]]</f>
        <v>-1</v>
      </c>
      <c r="C42" t="s">
        <v>95</v>
      </c>
      <c r="D42" s="11">
        <v>46135</v>
      </c>
      <c r="E42" s="12" t="s">
        <v>10</v>
      </c>
      <c r="F42" s="10">
        <f ca="1">IFERROR(IF(ISBLANK(Tasks[[#This Row],[Due Date]]),"",IF(Tasks[[#This Row],[Done?]]="Yes",1,IF(OR(Tasks[[#This Row],[Due Date]]&gt;PlanDueDate,Tasks[[#This Row],[Done?]]="No"),-1,IF(OR(OR(Tasks[[#This Row],[Due Date]]=TODAY(),Tasks[[#This Row],[Due Date]]=PlanDueDate),Tasks[[#This Row],[Done?]]="Pending"),0,"")))),"")</f>
        <v>-1</v>
      </c>
      <c r="G42" s="26" t="s">
        <v>80</v>
      </c>
    </row>
    <row r="43" spans="2:7" ht="30" customHeight="1" x14ac:dyDescent="0.3">
      <c r="B43" s="10">
        <f ca="1">Tasks[[#This Row],[Status Icon]]</f>
        <v>-1</v>
      </c>
      <c r="C43" t="s">
        <v>96</v>
      </c>
      <c r="D43" s="11">
        <v>46135</v>
      </c>
      <c r="E43" s="12" t="s">
        <v>10</v>
      </c>
      <c r="F43" s="10">
        <f ca="1">IFERROR(IF(ISBLANK(Tasks[[#This Row],[Due Date]]),"",IF(Tasks[[#This Row],[Done?]]="Yes",1,IF(OR(Tasks[[#This Row],[Due Date]]&gt;PlanDueDate,Tasks[[#This Row],[Done?]]="No"),-1,IF(OR(OR(Tasks[[#This Row],[Due Date]]=TODAY(),Tasks[[#This Row],[Due Date]]=PlanDueDate),Tasks[[#This Row],[Done?]]="Pending"),0,"")))),"")</f>
        <v>-1</v>
      </c>
      <c r="G43" s="26" t="s">
        <v>80</v>
      </c>
    </row>
    <row r="44" spans="2:7" ht="30" customHeight="1" x14ac:dyDescent="0.3">
      <c r="B44" s="10">
        <f ca="1">Tasks[[#This Row],[Status Icon]]</f>
        <v>-1</v>
      </c>
      <c r="C44" t="s">
        <v>34</v>
      </c>
      <c r="D44" s="11">
        <v>46111</v>
      </c>
      <c r="E44" s="12" t="s">
        <v>10</v>
      </c>
      <c r="F44" s="10">
        <f ca="1">IFERROR(IF(ISBLANK(Tasks[[#This Row],[Due Date]]),"",IF(Tasks[[#This Row],[Done?]]="Yes",1,IF(OR(Tasks[[#This Row],[Due Date]]&gt;PlanDueDate,Tasks[[#This Row],[Done?]]="No"),-1,IF(OR(OR(Tasks[[#This Row],[Due Date]]=TODAY(),Tasks[[#This Row],[Due Date]]=PlanDueDate),Tasks[[#This Row],[Done?]]="Pending"),0,"")))),"")</f>
        <v>-1</v>
      </c>
      <c r="G44" s="26" t="s">
        <v>82</v>
      </c>
    </row>
    <row r="45" spans="2:7" ht="30" customHeight="1" x14ac:dyDescent="0.3">
      <c r="B45" s="10" t="str">
        <f ca="1">Tasks[[#This Row],[Status Icon]]</f>
        <v/>
      </c>
      <c r="C45" s="21" t="s">
        <v>61</v>
      </c>
      <c r="D45" s="22"/>
      <c r="E45" s="23"/>
      <c r="F45" s="24" t="str">
        <f ca="1">IFERROR(IF(ISBLANK(Tasks[[#This Row],[Due Date]]),"",IF(Tasks[[#This Row],[Done?]]="Yes",1,IF(OR(Tasks[[#This Row],[Due Date]]&gt;PlanDueDate,Tasks[[#This Row],[Done?]]="No"),-1,IF(OR(OR(Tasks[[#This Row],[Due Date]]=TODAY(),Tasks[[#This Row],[Due Date]]=PlanDueDate),Tasks[[#This Row],[Done?]]="Pending"),0,"")))),"")</f>
        <v/>
      </c>
      <c r="G45" s="28"/>
    </row>
    <row r="46" spans="2:7" ht="30" customHeight="1" x14ac:dyDescent="0.3">
      <c r="B46" s="10">
        <f ca="1">Tasks[[#This Row],[Status Icon]]</f>
        <v>-1</v>
      </c>
      <c r="C46" t="s">
        <v>35</v>
      </c>
      <c r="D46" s="11">
        <v>46111</v>
      </c>
      <c r="E46" s="12" t="s">
        <v>10</v>
      </c>
      <c r="F46" s="10">
        <f ca="1">IFERROR(IF(ISBLANK(Tasks[[#This Row],[Due Date]]),"",IF(Tasks[[#This Row],[Done?]]="Yes",1,IF(OR(Tasks[[#This Row],[Due Date]]&gt;PlanDueDate,Tasks[[#This Row],[Done?]]="No"),-1,IF(OR(OR(Tasks[[#This Row],[Due Date]]=TODAY(),Tasks[[#This Row],[Due Date]]=PlanDueDate),Tasks[[#This Row],[Done?]]="Pending"),0,"")))),"")</f>
        <v>-1</v>
      </c>
      <c r="G46" s="26" t="s">
        <v>80</v>
      </c>
    </row>
    <row r="47" spans="2:7" ht="30" customHeight="1" x14ac:dyDescent="0.3">
      <c r="B47" s="10">
        <f ca="1">Tasks[[#This Row],[Status Icon]]</f>
        <v>-1</v>
      </c>
      <c r="C47" t="s">
        <v>36</v>
      </c>
      <c r="D47" s="11">
        <v>46111</v>
      </c>
      <c r="E47" s="12" t="s">
        <v>10</v>
      </c>
      <c r="F47" s="10">
        <f ca="1">IFERROR(IF(ISBLANK(Tasks[[#This Row],[Due Date]]),"",IF(Tasks[[#This Row],[Done?]]="Yes",1,IF(OR(Tasks[[#This Row],[Due Date]]&gt;PlanDueDate,Tasks[[#This Row],[Done?]]="No"),-1,IF(OR(OR(Tasks[[#This Row],[Due Date]]=TODAY(),Tasks[[#This Row],[Due Date]]=PlanDueDate),Tasks[[#This Row],[Done?]]="Pending"),0,"")))),"")</f>
        <v>-1</v>
      </c>
      <c r="G47" s="26" t="s">
        <v>80</v>
      </c>
    </row>
    <row r="48" spans="2:7" ht="30" customHeight="1" x14ac:dyDescent="0.3">
      <c r="B48" s="10">
        <f ca="1">Tasks[[#This Row],[Status Icon]]</f>
        <v>-1</v>
      </c>
      <c r="C48" t="s">
        <v>37</v>
      </c>
      <c r="D48" s="11">
        <v>46111</v>
      </c>
      <c r="E48" s="12" t="s">
        <v>10</v>
      </c>
      <c r="F48" s="10">
        <f ca="1">IFERROR(IF(ISBLANK(Tasks[[#This Row],[Due Date]]),"",IF(Tasks[[#This Row],[Done?]]="Yes",1,IF(OR(Tasks[[#This Row],[Due Date]]&gt;PlanDueDate,Tasks[[#This Row],[Done?]]="No"),-1,IF(OR(OR(Tasks[[#This Row],[Due Date]]=TODAY(),Tasks[[#This Row],[Due Date]]=PlanDueDate),Tasks[[#This Row],[Done?]]="Pending"),0,"")))),"")</f>
        <v>-1</v>
      </c>
      <c r="G48" s="26" t="s">
        <v>80</v>
      </c>
    </row>
    <row r="49" spans="2:7" ht="30" customHeight="1" x14ac:dyDescent="0.3">
      <c r="B49" s="10">
        <f ca="1">Tasks[[#This Row],[Status Icon]]</f>
        <v>-1</v>
      </c>
      <c r="C49" t="s">
        <v>38</v>
      </c>
      <c r="D49" s="11">
        <v>46111</v>
      </c>
      <c r="E49" s="12" t="s">
        <v>10</v>
      </c>
      <c r="F49" s="10">
        <f ca="1">IFERROR(IF(ISBLANK(Tasks[[#This Row],[Due Date]]),"",IF(Tasks[[#This Row],[Done?]]="Yes",1,IF(OR(Tasks[[#This Row],[Due Date]]&gt;PlanDueDate,Tasks[[#This Row],[Done?]]="No"),-1,IF(OR(OR(Tasks[[#This Row],[Due Date]]=TODAY(),Tasks[[#This Row],[Due Date]]=PlanDueDate),Tasks[[#This Row],[Done?]]="Pending"),0,"")))),"")</f>
        <v>-1</v>
      </c>
      <c r="G49" s="26" t="s">
        <v>80</v>
      </c>
    </row>
    <row r="50" spans="2:7" ht="30" customHeight="1" x14ac:dyDescent="0.3">
      <c r="B50" s="10" t="str">
        <f ca="1">Tasks[[#This Row],[Status Icon]]</f>
        <v/>
      </c>
      <c r="C50" s="21" t="s">
        <v>97</v>
      </c>
      <c r="D50" s="22"/>
      <c r="E50" s="23"/>
      <c r="F50" s="24" t="str">
        <f ca="1">IFERROR(IF(ISBLANK(Tasks[[#This Row],[Due Date]]),"",IF(Tasks[[#This Row],[Done?]]="Yes",1,IF(OR(Tasks[[#This Row],[Due Date]]&gt;PlanDueDate,Tasks[[#This Row],[Done?]]="No"),-1,IF(OR(OR(Tasks[[#This Row],[Due Date]]=TODAY(),Tasks[[#This Row],[Due Date]]=PlanDueDate),Tasks[[#This Row],[Done?]]="Pending"),0,"")))),"")</f>
        <v/>
      </c>
      <c r="G50" s="28"/>
    </row>
    <row r="51" spans="2:7" ht="30" customHeight="1" x14ac:dyDescent="0.3">
      <c r="B51" s="10">
        <f ca="1">Tasks[[#This Row],[Status Icon]]</f>
        <v>-1</v>
      </c>
      <c r="C51" t="s">
        <v>39</v>
      </c>
      <c r="D51" s="11">
        <v>46111</v>
      </c>
      <c r="E51" s="12" t="s">
        <v>10</v>
      </c>
      <c r="F51" s="10">
        <f ca="1">IFERROR(IF(ISBLANK(Tasks[[#This Row],[Due Date]]),"",IF(Tasks[[#This Row],[Done?]]="Yes",1,IF(OR(Tasks[[#This Row],[Due Date]]&gt;PlanDueDate,Tasks[[#This Row],[Done?]]="No"),-1,IF(OR(OR(Tasks[[#This Row],[Due Date]]=TODAY(),Tasks[[#This Row],[Due Date]]=PlanDueDate),Tasks[[#This Row],[Done?]]="Pending"),0,"")))),"")</f>
        <v>-1</v>
      </c>
      <c r="G51" s="26" t="s">
        <v>82</v>
      </c>
    </row>
    <row r="52" spans="2:7" ht="30" customHeight="1" x14ac:dyDescent="0.3">
      <c r="B52" s="10" t="str">
        <f ca="1">Tasks[[#This Row],[Status Icon]]</f>
        <v/>
      </c>
      <c r="C52" s="21" t="s">
        <v>63</v>
      </c>
      <c r="D52" s="22"/>
      <c r="E52" s="23"/>
      <c r="F52" s="24" t="str">
        <f ca="1">IFERROR(IF(ISBLANK(Tasks[[#This Row],[Due Date]]),"",IF(Tasks[[#This Row],[Done?]]="Yes",1,IF(OR(Tasks[[#This Row],[Due Date]]&gt;PlanDueDate,Tasks[[#This Row],[Done?]]="No"),-1,IF(OR(OR(Tasks[[#This Row],[Due Date]]=TODAY(),Tasks[[#This Row],[Due Date]]=PlanDueDate),Tasks[[#This Row],[Done?]]="Pending"),0,"")))),"")</f>
        <v/>
      </c>
      <c r="G52" s="28"/>
    </row>
    <row r="53" spans="2:7" ht="30" customHeight="1" x14ac:dyDescent="0.3">
      <c r="B53" s="10">
        <f ca="1">Tasks[[#This Row],[Status Icon]]</f>
        <v>-1</v>
      </c>
      <c r="C53" t="s">
        <v>40</v>
      </c>
      <c r="D53" s="11">
        <v>46116</v>
      </c>
      <c r="E53" s="12" t="s">
        <v>10</v>
      </c>
      <c r="F53" s="10">
        <f ca="1">IFERROR(IF(ISBLANK(Tasks[[#This Row],[Due Date]]),"",IF(Tasks[[#This Row],[Done?]]="Yes",1,IF(OR(Tasks[[#This Row],[Due Date]]&gt;PlanDueDate,Tasks[[#This Row],[Done?]]="No"),-1,IF(OR(OR(Tasks[[#This Row],[Due Date]]=TODAY(),Tasks[[#This Row],[Due Date]]=PlanDueDate),Tasks[[#This Row],[Done?]]="Pending"),0,"")))),"")</f>
        <v>-1</v>
      </c>
      <c r="G53" s="26" t="s">
        <v>80</v>
      </c>
    </row>
    <row r="54" spans="2:7" ht="30" customHeight="1" x14ac:dyDescent="0.3">
      <c r="B54" s="10">
        <f ca="1">Tasks[[#This Row],[Status Icon]]</f>
        <v>-1</v>
      </c>
      <c r="C54" t="s">
        <v>41</v>
      </c>
      <c r="D54" s="11">
        <v>46116</v>
      </c>
      <c r="E54" s="12" t="s">
        <v>10</v>
      </c>
      <c r="F54" s="10">
        <f ca="1">IFERROR(IF(ISBLANK(Tasks[[#This Row],[Due Date]]),"",IF(Tasks[[#This Row],[Done?]]="Yes",1,IF(OR(Tasks[[#This Row],[Due Date]]&gt;PlanDueDate,Tasks[[#This Row],[Done?]]="No"),-1,IF(OR(OR(Tasks[[#This Row],[Due Date]]=TODAY(),Tasks[[#This Row],[Due Date]]=PlanDueDate),Tasks[[#This Row],[Done?]]="Pending"),0,"")))),"")</f>
        <v>-1</v>
      </c>
      <c r="G54" s="26" t="s">
        <v>82</v>
      </c>
    </row>
    <row r="55" spans="2:7" ht="30" customHeight="1" x14ac:dyDescent="0.3">
      <c r="B55" s="10">
        <f ca="1">Tasks[[#This Row],[Status Icon]]</f>
        <v>-1</v>
      </c>
      <c r="C55" t="s">
        <v>42</v>
      </c>
      <c r="D55" s="11">
        <v>46116</v>
      </c>
      <c r="E55" s="12" t="s">
        <v>10</v>
      </c>
      <c r="F55" s="10">
        <f ca="1">IFERROR(IF(ISBLANK(Tasks[[#This Row],[Due Date]]),"",IF(Tasks[[#This Row],[Done?]]="Yes",1,IF(OR(Tasks[[#This Row],[Due Date]]&gt;PlanDueDate,Tasks[[#This Row],[Done?]]="No"),-1,IF(OR(OR(Tasks[[#This Row],[Due Date]]=TODAY(),Tasks[[#This Row],[Due Date]]=PlanDueDate),Tasks[[#This Row],[Done?]]="Pending"),0,"")))),"")</f>
        <v>-1</v>
      </c>
      <c r="G55" s="26" t="s">
        <v>82</v>
      </c>
    </row>
    <row r="56" spans="2:7" ht="30" customHeight="1" x14ac:dyDescent="0.3">
      <c r="B56" s="10">
        <f ca="1">Tasks[[#This Row],[Status Icon]]</f>
        <v>-1</v>
      </c>
      <c r="C56" t="s">
        <v>43</v>
      </c>
      <c r="D56" s="11">
        <v>46116</v>
      </c>
      <c r="E56" s="12" t="s">
        <v>10</v>
      </c>
      <c r="F56" s="10">
        <f ca="1">IFERROR(IF(ISBLANK(Tasks[[#This Row],[Due Date]]),"",IF(Tasks[[#This Row],[Done?]]="Yes",1,IF(OR(Tasks[[#This Row],[Due Date]]&gt;PlanDueDate,Tasks[[#This Row],[Done?]]="No"),-1,IF(OR(OR(Tasks[[#This Row],[Due Date]]=TODAY(),Tasks[[#This Row],[Due Date]]=PlanDueDate),Tasks[[#This Row],[Done?]]="Pending"),0,"")))),"")</f>
        <v>-1</v>
      </c>
      <c r="G56" s="26" t="s">
        <v>80</v>
      </c>
    </row>
    <row r="57" spans="2:7" ht="30" customHeight="1" x14ac:dyDescent="0.3">
      <c r="B57" s="10" t="str">
        <f ca="1">Tasks[[#This Row],[Status Icon]]</f>
        <v/>
      </c>
      <c r="C57" s="21" t="s">
        <v>44</v>
      </c>
      <c r="D57" s="22"/>
      <c r="E57" s="23"/>
      <c r="F57" s="24" t="str">
        <f ca="1">IFERROR(IF(ISBLANK(Tasks[[#This Row],[Due Date]]),"",IF(Tasks[[#This Row],[Done?]]="Yes",1,IF(OR(Tasks[[#This Row],[Due Date]]&gt;PlanDueDate,Tasks[[#This Row],[Done?]]="No"),-1,IF(OR(OR(Tasks[[#This Row],[Due Date]]=TODAY(),Tasks[[#This Row],[Due Date]]=PlanDueDate),Tasks[[#This Row],[Done?]]="Pending"),0,"")))),"")</f>
        <v/>
      </c>
      <c r="G57" s="28"/>
    </row>
    <row r="58" spans="2:7" ht="30" customHeight="1" x14ac:dyDescent="0.3">
      <c r="B58" s="10">
        <f ca="1">Tasks[[#This Row],[Status Icon]]</f>
        <v>-1</v>
      </c>
      <c r="C58" t="s">
        <v>45</v>
      </c>
      <c r="D58" s="11">
        <v>46117</v>
      </c>
      <c r="E58" s="12" t="s">
        <v>10</v>
      </c>
      <c r="F58" s="10">
        <f ca="1">IFERROR(IF(ISBLANK(Tasks[[#This Row],[Due Date]]),"",IF(Tasks[[#This Row],[Done?]]="Yes",1,IF(OR(Tasks[[#This Row],[Due Date]]&gt;PlanDueDate,Tasks[[#This Row],[Done?]]="No"),-1,IF(OR(OR(Tasks[[#This Row],[Due Date]]=TODAY(),Tasks[[#This Row],[Due Date]]=PlanDueDate),Tasks[[#This Row],[Done?]]="Pending"),0,"")))),"")</f>
        <v>-1</v>
      </c>
      <c r="G58" s="26" t="s">
        <v>80</v>
      </c>
    </row>
    <row r="59" spans="2:7" ht="30" customHeight="1" x14ac:dyDescent="0.3">
      <c r="B59" s="10">
        <f ca="1">Tasks[[#This Row],[Status Icon]]</f>
        <v>-1</v>
      </c>
      <c r="C59" t="s">
        <v>46</v>
      </c>
      <c r="D59" s="11">
        <v>46119</v>
      </c>
      <c r="E59" s="12" t="s">
        <v>10</v>
      </c>
      <c r="F59" s="10">
        <f ca="1">IFERROR(IF(ISBLANK(Tasks[[#This Row],[Due Date]]),"",IF(Tasks[[#This Row],[Done?]]="Yes",1,IF(OR(Tasks[[#This Row],[Due Date]]&gt;PlanDueDate,Tasks[[#This Row],[Done?]]="No"),-1,IF(OR(OR(Tasks[[#This Row],[Due Date]]=TODAY(),Tasks[[#This Row],[Due Date]]=PlanDueDate),Tasks[[#This Row],[Done?]]="Pending"),0,"")))),"")</f>
        <v>-1</v>
      </c>
      <c r="G59" s="26" t="s">
        <v>80</v>
      </c>
    </row>
    <row r="60" spans="2:7" ht="30" customHeight="1" x14ac:dyDescent="0.3">
      <c r="B60" s="10">
        <f ca="1">Tasks[[#This Row],[Status Icon]]</f>
        <v>-1</v>
      </c>
      <c r="C60" t="s">
        <v>47</v>
      </c>
      <c r="D60" s="11">
        <v>46119</v>
      </c>
      <c r="E60" s="12" t="s">
        <v>10</v>
      </c>
      <c r="F60" s="10">
        <f ca="1">IFERROR(IF(ISBLANK(Tasks[[#This Row],[Due Date]]),"",IF(Tasks[[#This Row],[Done?]]="Yes",1,IF(OR(Tasks[[#This Row],[Due Date]]&gt;PlanDueDate,Tasks[[#This Row],[Done?]]="No"),-1,IF(OR(OR(Tasks[[#This Row],[Due Date]]=TODAY(),Tasks[[#This Row],[Due Date]]=PlanDueDate),Tasks[[#This Row],[Done?]]="Pending"),0,"")))),"")</f>
        <v>-1</v>
      </c>
      <c r="G60" s="26" t="s">
        <v>80</v>
      </c>
    </row>
    <row r="61" spans="2:7" ht="30" customHeight="1" x14ac:dyDescent="0.3">
      <c r="B61" s="10">
        <f ca="1">Tasks[[#This Row],[Status Icon]]</f>
        <v>-1</v>
      </c>
      <c r="C61" t="s">
        <v>48</v>
      </c>
      <c r="D61" s="11">
        <v>46119</v>
      </c>
      <c r="E61" s="12" t="s">
        <v>10</v>
      </c>
      <c r="F61" s="10">
        <f ca="1">IFERROR(IF(ISBLANK(Tasks[[#This Row],[Due Date]]),"",IF(Tasks[[#This Row],[Done?]]="Yes",1,IF(OR(Tasks[[#This Row],[Due Date]]&gt;PlanDueDate,Tasks[[#This Row],[Done?]]="No"),-1,IF(OR(OR(Tasks[[#This Row],[Due Date]]=TODAY(),Tasks[[#This Row],[Due Date]]=PlanDueDate),Tasks[[#This Row],[Done?]]="Pending"),0,"")))),"")</f>
        <v>-1</v>
      </c>
      <c r="G61" s="26" t="s">
        <v>80</v>
      </c>
    </row>
    <row r="62" spans="2:7" ht="30" customHeight="1" x14ac:dyDescent="0.3">
      <c r="B62" s="10">
        <f ca="1">Tasks[[#This Row],[Status Icon]]</f>
        <v>-1</v>
      </c>
      <c r="C62" t="s">
        <v>49</v>
      </c>
      <c r="D62" s="11">
        <v>46120</v>
      </c>
      <c r="E62" s="12" t="s">
        <v>10</v>
      </c>
      <c r="F62" s="10">
        <f ca="1">IFERROR(IF(ISBLANK(Tasks[[#This Row],[Due Date]]),"",IF(Tasks[[#This Row],[Done?]]="Yes",1,IF(OR(Tasks[[#This Row],[Due Date]]&gt;PlanDueDate,Tasks[[#This Row],[Done?]]="No"),-1,IF(OR(OR(Tasks[[#This Row],[Due Date]]=TODAY(),Tasks[[#This Row],[Due Date]]=PlanDueDate),Tasks[[#This Row],[Done?]]="Pending"),0,"")))),"")</f>
        <v>-1</v>
      </c>
      <c r="G62" s="26" t="s">
        <v>80</v>
      </c>
    </row>
    <row r="63" spans="2:7" ht="30" customHeight="1" x14ac:dyDescent="0.3">
      <c r="B63" s="10">
        <f ca="1">Tasks[[#This Row],[Status Icon]]</f>
        <v>-1</v>
      </c>
      <c r="C63" t="s">
        <v>50</v>
      </c>
      <c r="D63" s="11">
        <v>46120</v>
      </c>
      <c r="E63" s="12" t="s">
        <v>10</v>
      </c>
      <c r="F63" s="10">
        <f ca="1">IFERROR(IF(ISBLANK(Tasks[[#This Row],[Due Date]]),"",IF(Tasks[[#This Row],[Done?]]="Yes",1,IF(OR(Tasks[[#This Row],[Due Date]]&gt;PlanDueDate,Tasks[[#This Row],[Done?]]="No"),-1,IF(OR(OR(Tasks[[#This Row],[Due Date]]=TODAY(),Tasks[[#This Row],[Due Date]]=PlanDueDate),Tasks[[#This Row],[Done?]]="Pending"),0,"")))),"")</f>
        <v>-1</v>
      </c>
      <c r="G63" s="26" t="s">
        <v>80</v>
      </c>
    </row>
    <row r="64" spans="2:7" ht="30" customHeight="1" x14ac:dyDescent="0.3">
      <c r="B64" s="10" t="str">
        <f ca="1">Tasks[[#This Row],[Status Icon]]</f>
        <v/>
      </c>
      <c r="C64" s="21" t="s">
        <v>51</v>
      </c>
      <c r="D64" s="22"/>
      <c r="E64" s="23"/>
      <c r="F64" s="24" t="str">
        <f ca="1">IFERROR(IF(ISBLANK(Tasks[[#This Row],[Due Date]]),"",IF(Tasks[[#This Row],[Done?]]="Yes",1,IF(OR(Tasks[[#This Row],[Due Date]]&gt;PlanDueDate,Tasks[[#This Row],[Done?]]="No"),-1,IF(OR(OR(Tasks[[#This Row],[Due Date]]=TODAY(),Tasks[[#This Row],[Due Date]]=PlanDueDate),Tasks[[#This Row],[Done?]]="Pending"),0,"")))),"")</f>
        <v/>
      </c>
      <c r="G64" s="28"/>
    </row>
    <row r="65" spans="2:7" ht="30" customHeight="1" x14ac:dyDescent="0.3">
      <c r="B65" s="10">
        <f ca="1">Tasks[[#This Row],[Status Icon]]</f>
        <v>-1</v>
      </c>
      <c r="C65" t="s">
        <v>52</v>
      </c>
      <c r="D65" s="11">
        <v>46123</v>
      </c>
      <c r="E65" s="12" t="s">
        <v>10</v>
      </c>
      <c r="F65" s="10">
        <f ca="1">IFERROR(IF(ISBLANK(Tasks[[#This Row],[Due Date]]),"",IF(Tasks[[#This Row],[Done?]]="Yes",1,IF(OR(Tasks[[#This Row],[Due Date]]&gt;PlanDueDate,Tasks[[#This Row],[Done?]]="No"),-1,IF(OR(OR(Tasks[[#This Row],[Due Date]]=TODAY(),Tasks[[#This Row],[Due Date]]=PlanDueDate),Tasks[[#This Row],[Done?]]="Pending"),0,"")))),"")</f>
        <v>-1</v>
      </c>
      <c r="G65" s="26" t="s">
        <v>80</v>
      </c>
    </row>
    <row r="66" spans="2:7" ht="30" customHeight="1" x14ac:dyDescent="0.3">
      <c r="B66" s="10">
        <f ca="1">Tasks[[#This Row],[Status Icon]]</f>
        <v>-1</v>
      </c>
      <c r="C66" t="s">
        <v>53</v>
      </c>
      <c r="D66" s="11">
        <v>46123</v>
      </c>
      <c r="E66" s="12" t="s">
        <v>10</v>
      </c>
      <c r="F66" s="10">
        <f ca="1">IFERROR(IF(ISBLANK(Tasks[[#This Row],[Due Date]]),"",IF(Tasks[[#This Row],[Done?]]="Yes",1,IF(OR(Tasks[[#This Row],[Due Date]]&gt;PlanDueDate,Tasks[[#This Row],[Done?]]="No"),-1,IF(OR(OR(Tasks[[#This Row],[Due Date]]=TODAY(),Tasks[[#This Row],[Due Date]]=PlanDueDate),Tasks[[#This Row],[Done?]]="Pending"),0,"")))),"")</f>
        <v>-1</v>
      </c>
      <c r="G66" s="26" t="s">
        <v>80</v>
      </c>
    </row>
    <row r="67" spans="2:7" ht="30" customHeight="1" x14ac:dyDescent="0.3">
      <c r="B67" s="10">
        <f ca="1">Tasks[[#This Row],[Status Icon]]</f>
        <v>-1</v>
      </c>
      <c r="C67" t="s">
        <v>54</v>
      </c>
      <c r="D67" s="11">
        <v>46123</v>
      </c>
      <c r="E67" s="12" t="s">
        <v>10</v>
      </c>
      <c r="F67" s="10">
        <f ca="1">IFERROR(IF(ISBLANK(Tasks[[#This Row],[Due Date]]),"",IF(Tasks[[#This Row],[Done?]]="Yes",1,IF(OR(Tasks[[#This Row],[Due Date]]&gt;PlanDueDate,Tasks[[#This Row],[Done?]]="No"),-1,IF(OR(OR(Tasks[[#This Row],[Due Date]]=TODAY(),Tasks[[#This Row],[Due Date]]=PlanDueDate),Tasks[[#This Row],[Done?]]="Pending"),0,"")))),"")</f>
        <v>-1</v>
      </c>
      <c r="G67" s="26" t="s">
        <v>80</v>
      </c>
    </row>
    <row r="68" spans="2:7" ht="30" customHeight="1" x14ac:dyDescent="0.3">
      <c r="B68" s="10">
        <f ca="1">Tasks[[#This Row],[Status Icon]]</f>
        <v>-1</v>
      </c>
      <c r="C68" t="s">
        <v>55</v>
      </c>
      <c r="D68" s="11">
        <v>46123</v>
      </c>
      <c r="E68" s="12" t="s">
        <v>10</v>
      </c>
      <c r="F68" s="10">
        <f ca="1">IFERROR(IF(ISBLANK(Tasks[[#This Row],[Due Date]]),"",IF(Tasks[[#This Row],[Done?]]="Yes",1,IF(OR(Tasks[[#This Row],[Due Date]]&gt;PlanDueDate,Tasks[[#This Row],[Done?]]="No"),-1,IF(OR(OR(Tasks[[#This Row],[Due Date]]=TODAY(),Tasks[[#This Row],[Due Date]]=PlanDueDate),Tasks[[#This Row],[Done?]]="Pending"),0,"")))),"")</f>
        <v>-1</v>
      </c>
      <c r="G68" s="26" t="s">
        <v>80</v>
      </c>
    </row>
    <row r="69" spans="2:7" ht="30" customHeight="1" x14ac:dyDescent="0.3">
      <c r="B69" s="10" t="str">
        <f ca="1">Tasks[[#This Row],[Status Icon]]</f>
        <v/>
      </c>
      <c r="C69" s="21" t="s">
        <v>64</v>
      </c>
      <c r="D69" s="22"/>
      <c r="E69" s="23"/>
      <c r="F69" s="24" t="str">
        <f ca="1">IFERROR(IF(ISBLANK(Tasks[[#This Row],[Due Date]]),"",IF(Tasks[[#This Row],[Done?]]="Yes",1,IF(OR(Tasks[[#This Row],[Due Date]]&gt;PlanDueDate,Tasks[[#This Row],[Done?]]="No"),-1,IF(OR(OR(Tasks[[#This Row],[Due Date]]=TODAY(),Tasks[[#This Row],[Due Date]]=PlanDueDate),Tasks[[#This Row],[Done?]]="Pending"),0,"")))),"")</f>
        <v/>
      </c>
      <c r="G69" s="28"/>
    </row>
    <row r="70" spans="2:7" ht="30" customHeight="1" x14ac:dyDescent="0.3">
      <c r="B70" s="10">
        <f ca="1">Tasks[[#This Row],[Status Icon]]</f>
        <v>-1</v>
      </c>
      <c r="C70" t="s">
        <v>65</v>
      </c>
      <c r="D70" s="11">
        <v>46163</v>
      </c>
      <c r="E70" s="12" t="s">
        <v>10</v>
      </c>
      <c r="F70" s="10">
        <f ca="1">IFERROR(IF(ISBLANK(Tasks[[#This Row],[Due Date]]),"",IF(Tasks[[#This Row],[Done?]]="Yes",1,IF(OR(Tasks[[#This Row],[Due Date]]&gt;PlanDueDate,Tasks[[#This Row],[Done?]]="No"),-1,IF(OR(OR(Tasks[[#This Row],[Due Date]]=TODAY(),Tasks[[#This Row],[Due Date]]=PlanDueDate),Tasks[[#This Row],[Done?]]="Pending"),0,"")))),"")</f>
        <v>-1</v>
      </c>
      <c r="G70" s="26" t="s">
        <v>83</v>
      </c>
    </row>
    <row r="71" spans="2:7" ht="30" customHeight="1" x14ac:dyDescent="0.3">
      <c r="B71" s="10">
        <f ca="1">Tasks[[#This Row],[Status Icon]]</f>
        <v>-1</v>
      </c>
      <c r="C71" t="s">
        <v>66</v>
      </c>
      <c r="D71" s="11">
        <v>46170</v>
      </c>
      <c r="E71" s="12" t="s">
        <v>10</v>
      </c>
      <c r="F71" s="10">
        <f ca="1">IFERROR(IF(ISBLANK(Tasks[[#This Row],[Due Date]]),"",IF(Tasks[[#This Row],[Done?]]="Yes",1,IF(OR(Tasks[[#This Row],[Due Date]]&gt;PlanDueDate,Tasks[[#This Row],[Done?]]="No"),-1,IF(OR(OR(Tasks[[#This Row],[Due Date]]=TODAY(),Tasks[[#This Row],[Due Date]]=PlanDueDate),Tasks[[#This Row],[Done?]]="Pending"),0,"")))),"")</f>
        <v>-1</v>
      </c>
      <c r="G71" s="26" t="s">
        <v>82</v>
      </c>
    </row>
    <row r="72" spans="2:7" ht="30" customHeight="1" x14ac:dyDescent="0.3">
      <c r="B72" s="10">
        <f ca="1">Tasks[[#This Row],[Status Icon]]</f>
        <v>-1</v>
      </c>
      <c r="C72" t="s">
        <v>67</v>
      </c>
      <c r="D72" s="11">
        <v>46170</v>
      </c>
      <c r="E72" s="12" t="s">
        <v>10</v>
      </c>
      <c r="F72" s="10">
        <f ca="1">IFERROR(IF(ISBLANK(Tasks[[#This Row],[Due Date]]),"",IF(Tasks[[#This Row],[Done?]]="Yes",1,IF(OR(Tasks[[#This Row],[Due Date]]&gt;PlanDueDate,Tasks[[#This Row],[Done?]]="No"),-1,IF(OR(OR(Tasks[[#This Row],[Due Date]]=TODAY(),Tasks[[#This Row],[Due Date]]=PlanDueDate),Tasks[[#This Row],[Done?]]="Pending"),0,"")))),"")</f>
        <v>-1</v>
      </c>
      <c r="G72" s="26" t="s">
        <v>83</v>
      </c>
    </row>
    <row r="73" spans="2:7" ht="30" customHeight="1" x14ac:dyDescent="0.3">
      <c r="B73" s="10">
        <f ca="1">Tasks[[#This Row],[Status Icon]]</f>
        <v>-1</v>
      </c>
      <c r="C73" t="s">
        <v>68</v>
      </c>
      <c r="D73" s="11">
        <v>46170</v>
      </c>
      <c r="E73" s="12" t="s">
        <v>10</v>
      </c>
      <c r="F73" s="10">
        <f ca="1">IFERROR(IF(ISBLANK(Tasks[[#This Row],[Due Date]]),"",IF(Tasks[[#This Row],[Done?]]="Yes",1,IF(OR(Tasks[[#This Row],[Due Date]]&gt;PlanDueDate,Tasks[[#This Row],[Done?]]="No"),-1,IF(OR(OR(Tasks[[#This Row],[Due Date]]=TODAY(),Tasks[[#This Row],[Due Date]]=PlanDueDate),Tasks[[#This Row],[Done?]]="Pending"),0,"")))),"")</f>
        <v>-1</v>
      </c>
      <c r="G73" s="26" t="s">
        <v>83</v>
      </c>
    </row>
    <row r="74" spans="2:7" ht="30" customHeight="1" x14ac:dyDescent="0.3">
      <c r="B74" s="10" t="str">
        <f ca="1">Tasks[[#This Row],[Status Icon]]</f>
        <v/>
      </c>
      <c r="C74" s="21" t="s">
        <v>69</v>
      </c>
      <c r="D74" s="22"/>
      <c r="E74" s="23"/>
      <c r="F74" s="24" t="str">
        <f ca="1">IFERROR(IF(ISBLANK(Tasks[[#This Row],[Due Date]]),"",IF(Tasks[[#This Row],[Done?]]="Yes",1,IF(OR(Tasks[[#This Row],[Due Date]]&gt;PlanDueDate,Tasks[[#This Row],[Done?]]="No"),-1,IF(OR(OR(Tasks[[#This Row],[Due Date]]=TODAY(),Tasks[[#This Row],[Due Date]]=PlanDueDate),Tasks[[#This Row],[Done?]]="Pending"),0,"")))),"")</f>
        <v/>
      </c>
      <c r="G74" s="28"/>
    </row>
    <row r="75" spans="2:7" ht="30" customHeight="1" x14ac:dyDescent="0.3">
      <c r="B75" s="10">
        <f ca="1">Tasks[[#This Row],[Status Icon]]</f>
        <v>-1</v>
      </c>
      <c r="C75" t="s">
        <v>70</v>
      </c>
      <c r="D75" s="11">
        <v>46177</v>
      </c>
      <c r="E75" s="12" t="s">
        <v>10</v>
      </c>
      <c r="F75" s="10">
        <f ca="1">IFERROR(IF(ISBLANK(Tasks[[#This Row],[Due Date]]),"",IF(Tasks[[#This Row],[Done?]]="Yes",1,IF(OR(Tasks[[#This Row],[Due Date]]&gt;PlanDueDate,Tasks[[#This Row],[Done?]]="No"),-1,IF(OR(OR(Tasks[[#This Row],[Due Date]]=TODAY(),Tasks[[#This Row],[Due Date]]=PlanDueDate),Tasks[[#This Row],[Done?]]="Pending"),0,"")))),"")</f>
        <v>-1</v>
      </c>
      <c r="G75" s="26" t="s">
        <v>80</v>
      </c>
    </row>
    <row r="76" spans="2:7" ht="30" customHeight="1" x14ac:dyDescent="0.3">
      <c r="B76" s="10">
        <f ca="1">Tasks[[#This Row],[Status Icon]]</f>
        <v>-1</v>
      </c>
      <c r="C76" t="s">
        <v>71</v>
      </c>
      <c r="D76" s="11">
        <v>46177</v>
      </c>
      <c r="E76" s="12" t="s">
        <v>10</v>
      </c>
      <c r="F76" s="10">
        <f ca="1">IFERROR(IF(ISBLANK(Tasks[[#This Row],[Due Date]]),"",IF(Tasks[[#This Row],[Done?]]="Yes",1,IF(OR(Tasks[[#This Row],[Due Date]]&gt;PlanDueDate,Tasks[[#This Row],[Done?]]="No"),-1,IF(OR(OR(Tasks[[#This Row],[Due Date]]=TODAY(),Tasks[[#This Row],[Due Date]]=PlanDueDate),Tasks[[#This Row],[Done?]]="Pending"),0,"")))),"")</f>
        <v>-1</v>
      </c>
      <c r="G76" s="26" t="s">
        <v>83</v>
      </c>
    </row>
    <row r="77" spans="2:7" ht="30" customHeight="1" x14ac:dyDescent="0.3">
      <c r="B77" s="10">
        <f ca="1">Tasks[[#This Row],[Status Icon]]</f>
        <v>-1</v>
      </c>
      <c r="C77" t="s">
        <v>72</v>
      </c>
      <c r="D77" s="11">
        <v>46177</v>
      </c>
      <c r="E77" s="12" t="s">
        <v>10</v>
      </c>
      <c r="F77" s="10">
        <f ca="1">IFERROR(IF(ISBLANK(Tasks[[#This Row],[Due Date]]),"",IF(Tasks[[#This Row],[Done?]]="Yes",1,IF(OR(Tasks[[#This Row],[Due Date]]&gt;PlanDueDate,Tasks[[#This Row],[Done?]]="No"),-1,IF(OR(OR(Tasks[[#This Row],[Due Date]]=TODAY(),Tasks[[#This Row],[Due Date]]=PlanDueDate),Tasks[[#This Row],[Done?]]="Pending"),0,"")))),"")</f>
        <v>-1</v>
      </c>
      <c r="G77" s="26" t="s">
        <v>82</v>
      </c>
    </row>
    <row r="78" spans="2:7" ht="30" customHeight="1" x14ac:dyDescent="0.3">
      <c r="B78" s="10">
        <f ca="1">Tasks[[#This Row],[Status Icon]]</f>
        <v>-1</v>
      </c>
      <c r="C78" t="s">
        <v>98</v>
      </c>
      <c r="D78" s="11">
        <v>46177</v>
      </c>
      <c r="E78" s="12" t="s">
        <v>10</v>
      </c>
      <c r="F78" s="10">
        <f ca="1">IFERROR(IF(ISBLANK(Tasks[[#This Row],[Due Date]]),"",IF(Tasks[[#This Row],[Done?]]="Yes",1,IF(OR(Tasks[[#This Row],[Due Date]]&gt;PlanDueDate,Tasks[[#This Row],[Done?]]="No"),-1,IF(OR(OR(Tasks[[#This Row],[Due Date]]=TODAY(),Tasks[[#This Row],[Due Date]]=PlanDueDate),Tasks[[#This Row],[Done?]]="Pending"),0,"")))),"")</f>
        <v>-1</v>
      </c>
      <c r="G78" s="26" t="s">
        <v>80</v>
      </c>
    </row>
    <row r="79" spans="2:7" ht="30" customHeight="1" x14ac:dyDescent="0.3">
      <c r="B79" s="10">
        <f ca="1">Tasks[[#This Row],[Status Icon]]</f>
        <v>-1</v>
      </c>
      <c r="C79" t="s">
        <v>73</v>
      </c>
      <c r="D79" s="11">
        <v>46177</v>
      </c>
      <c r="E79" s="12" t="s">
        <v>10</v>
      </c>
      <c r="F79" s="10">
        <f ca="1">IFERROR(IF(ISBLANK(Tasks[[#This Row],[Due Date]]),"",IF(Tasks[[#This Row],[Done?]]="Yes",1,IF(OR(Tasks[[#This Row],[Due Date]]&gt;PlanDueDate,Tasks[[#This Row],[Done?]]="No"),-1,IF(OR(OR(Tasks[[#This Row],[Due Date]]=TODAY(),Tasks[[#This Row],[Due Date]]=PlanDueDate),Tasks[[#This Row],[Done?]]="Pending"),0,"")))),"")</f>
        <v>-1</v>
      </c>
      <c r="G79" s="26" t="s">
        <v>82</v>
      </c>
    </row>
    <row r="80" spans="2:7" ht="30" customHeight="1" x14ac:dyDescent="0.3">
      <c r="B80" s="10" t="str">
        <f ca="1">Tasks[[#This Row],[Status Icon]]</f>
        <v/>
      </c>
      <c r="C80" s="21" t="s">
        <v>74</v>
      </c>
      <c r="D80" s="22"/>
      <c r="E80" s="23"/>
      <c r="F80" s="24" t="str">
        <f ca="1">IFERROR(IF(ISBLANK(Tasks[[#This Row],[Due Date]]),"",IF(Tasks[[#This Row],[Done?]]="Yes",1,IF(OR(Tasks[[#This Row],[Due Date]]&gt;PlanDueDate,Tasks[[#This Row],[Done?]]="No"),-1,IF(OR(OR(Tasks[[#This Row],[Due Date]]=TODAY(),Tasks[[#This Row],[Due Date]]=PlanDueDate),Tasks[[#This Row],[Done?]]="Pending"),0,"")))),"")</f>
        <v/>
      </c>
      <c r="G80" s="28"/>
    </row>
    <row r="81" spans="2:7" ht="30" customHeight="1" x14ac:dyDescent="0.3">
      <c r="B81" s="10">
        <f ca="1">Tasks[[#This Row],[Status Icon]]</f>
        <v>-1</v>
      </c>
      <c r="C81" t="s">
        <v>75</v>
      </c>
      <c r="D81" s="11">
        <v>46185</v>
      </c>
      <c r="E81" s="12" t="s">
        <v>10</v>
      </c>
      <c r="F81" s="10">
        <f ca="1">IFERROR(IF(ISBLANK(Tasks[[#This Row],[Due Date]]),"",IF(Tasks[[#This Row],[Done?]]="Yes",1,IF(OR(Tasks[[#This Row],[Due Date]]&gt;PlanDueDate,Tasks[[#This Row],[Done?]]="No"),-1,IF(OR(OR(Tasks[[#This Row],[Due Date]]=TODAY(),Tasks[[#This Row],[Due Date]]=PlanDueDate),Tasks[[#This Row],[Done?]]="Pending"),0,"")))),"")</f>
        <v>-1</v>
      </c>
      <c r="G81" s="26" t="s">
        <v>82</v>
      </c>
    </row>
    <row r="82" spans="2:7" ht="30" customHeight="1" x14ac:dyDescent="0.3">
      <c r="B82" s="10">
        <f ca="1">Tasks[[#This Row],[Status Icon]]</f>
        <v>-1</v>
      </c>
      <c r="C82" t="s">
        <v>89</v>
      </c>
      <c r="D82" s="11">
        <v>46185</v>
      </c>
      <c r="E82" s="12" t="s">
        <v>10</v>
      </c>
      <c r="F82" s="10">
        <f ca="1">IFERROR(IF(ISBLANK(Tasks[[#This Row],[Due Date]]),"",IF(Tasks[[#This Row],[Done?]]="Yes",1,IF(OR(Tasks[[#This Row],[Due Date]]&gt;PlanDueDate,Tasks[[#This Row],[Done?]]="No"),-1,IF(OR(OR(Tasks[[#This Row],[Due Date]]=TODAY(),Tasks[[#This Row],[Due Date]]=PlanDueDate),Tasks[[#This Row],[Done?]]="Pending"),0,"")))),"")</f>
        <v>-1</v>
      </c>
      <c r="G82" s="26" t="s">
        <v>80</v>
      </c>
    </row>
    <row r="83" spans="2:7" ht="30" customHeight="1" x14ac:dyDescent="0.3">
      <c r="B83" s="10">
        <f ca="1">Tasks[[#This Row],[Status Icon]]</f>
        <v>-1</v>
      </c>
      <c r="C83" t="s">
        <v>76</v>
      </c>
      <c r="D83" s="11">
        <v>46185</v>
      </c>
      <c r="E83" s="12" t="s">
        <v>10</v>
      </c>
      <c r="F83" s="10">
        <f ca="1">IFERROR(IF(ISBLANK(Tasks[[#This Row],[Due Date]]),"",IF(Tasks[[#This Row],[Done?]]="Yes",1,IF(OR(Tasks[[#This Row],[Due Date]]&gt;PlanDueDate,Tasks[[#This Row],[Done?]]="No"),-1,IF(OR(OR(Tasks[[#This Row],[Due Date]]=TODAY(),Tasks[[#This Row],[Due Date]]=PlanDueDate),Tasks[[#This Row],[Done?]]="Pending"),0,"")))),"")</f>
        <v>-1</v>
      </c>
      <c r="G83" s="26" t="s">
        <v>80</v>
      </c>
    </row>
  </sheetData>
  <mergeCells count="6">
    <mergeCell ref="B1:C1"/>
    <mergeCell ref="B2:C3"/>
    <mergeCell ref="E4:G4"/>
    <mergeCell ref="E5:G5"/>
    <mergeCell ref="B4:D4"/>
    <mergeCell ref="B5:D5"/>
  </mergeCells>
  <conditionalFormatting sqref="B7:B83">
    <cfRule type="colorScale" priority="21">
      <colorScale>
        <cfvo type="num" val="-1"/>
        <cfvo type="num" val="0"/>
        <cfvo type="num" val="1"/>
        <color theme="5" tint="-0.249977111117893"/>
        <color theme="8" tint="0.39997558519241921"/>
        <color theme="6" tint="-0.249977111117893"/>
      </colorScale>
    </cfRule>
  </conditionalFormatting>
  <conditionalFormatting sqref="G23:G29">
    <cfRule type="expression" dxfId="5" priority="57">
      <formula>G23=1</formula>
    </cfRule>
    <cfRule type="expression" dxfId="4" priority="58">
      <formula>G23=0</formula>
    </cfRule>
    <cfRule type="expression" dxfId="3" priority="59">
      <formula>G23=-1</formula>
    </cfRule>
    <cfRule type="iconSet" priority="60">
      <iconSet iconSet="3Symbols2">
        <cfvo type="percent" val="0"/>
        <cfvo type="num" val="0"/>
        <cfvo type="num" val="1"/>
      </iconSet>
    </cfRule>
  </conditionalFormatting>
  <conditionalFormatting sqref="F7:F83">
    <cfRule type="expression" dxfId="2" priority="101">
      <formula>F7=1</formula>
    </cfRule>
    <cfRule type="expression" dxfId="1" priority="102">
      <formula>F7=0</formula>
    </cfRule>
    <cfRule type="expression" dxfId="0" priority="103">
      <formula>F7=-1</formula>
    </cfRule>
    <cfRule type="iconSet" priority="104">
      <iconSet iconSet="3Symbols2">
        <cfvo type="percent" val="0"/>
        <cfvo type="num" val="0"/>
        <cfvo type="num" val="1"/>
      </iconSet>
    </cfRule>
  </conditionalFormatting>
  <dataValidations disablePrompts="1"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8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2026-02-27T10:09:20Z</dcterms:modified>
  <cp:category/>
  <cp:contentStatus/>
</cp:coreProperties>
</file>